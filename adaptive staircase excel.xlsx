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eshshah/Desktop/psycology lab/data/"/>
    </mc:Choice>
  </mc:AlternateContent>
  <xr:revisionPtr revIDLastSave="0" documentId="8_{1F697AB6-0FD3-7D4B-94ED-86128481F235}" xr6:coauthVersionLast="47" xr6:coauthVersionMax="47" xr10:uidLastSave="{00000000-0000-0000-0000-000000000000}"/>
  <bookViews>
    <workbookView xWindow="380" yWindow="500" windowWidth="28040" windowHeight="16180" xr2:uid="{E803C9A6-3EBD-884C-8176-FDB13B7413E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04" i="1" l="1"/>
  <c r="N103" i="1"/>
</calcChain>
</file>

<file path=xl/sharedStrings.xml><?xml version="1.0" encoding="utf-8"?>
<sst xmlns="http://schemas.openxmlformats.org/spreadsheetml/2006/main" count="526" uniqueCount="32">
  <si>
    <t>stair.thisTrialN</t>
  </si>
  <si>
    <t>stair.stepSize</t>
  </si>
  <si>
    <t>stair.intensity</t>
  </si>
  <si>
    <t>thisRow.t</t>
  </si>
  <si>
    <t>notes</t>
  </si>
  <si>
    <t>trial.started</t>
  </si>
  <si>
    <t>fization.started</t>
  </si>
  <si>
    <t>grating.started</t>
  </si>
  <si>
    <t>key_resp.started</t>
  </si>
  <si>
    <t>fization.stopped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</si>
  <si>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</si>
  <si>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</si>
  <si>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</si>
  <si>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</si>
  <si>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</si>
  <si>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</si>
  <si>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</si>
  <si>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</si>
  <si>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</si>
  <si>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</si>
  <si>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</si>
  <si>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</si>
  <si>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</si>
  <si>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expStart</t>
  </si>
  <si>
    <t>right</t>
  </si>
  <si>
    <t>2025-09-02_09h52.37.554</t>
  </si>
  <si>
    <t>staircase</t>
  </si>
  <si>
    <t>2025.1.1</t>
  </si>
  <si>
    <t>2025-09-02 09h52.39.084170 +0530</t>
  </si>
  <si>
    <t>left</t>
  </si>
  <si>
    <t>first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</si>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</sst>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of</a:t>
            </a:r>
            <a:r>
              <a:rPr lang="en-US" baseline="0"/>
              <a:t> Responses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Sheet1!$O$1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Sheet1!$O$2:$O$101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7-FD4E-A12F-7EDA3EB87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684848"/>
        <c:axId val="1350983536"/>
      </c:lineChart>
      <c:catAx>
        <c:axId val="135068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83536"/>
        <c:crosses val="autoZero"/>
        <c:auto val="1"/>
        <c:lblAlgn val="ctr"/>
        <c:lblOffset val="100"/>
        <c:noMultiLvlLbl val="0"/>
      </c:catAx>
      <c:valAx>
        <c:axId val="135098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8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Degree of </a:t>
            </a:r>
            <a:r>
              <a:rPr lang="en-US" baseline="0"/>
              <a:t>Tilt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Sheet1!$N$1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Sheet1!$N$2:$N$101</c:f>
              <c:numCache>
                <c:formatCode>General</c:formatCode>
                <c:ptCount val="100"/>
                <c:pt idx="0">
                  <c:v>10</c:v>
                </c:pt>
                <c:pt idx="1">
                  <c:v>12</c:v>
                </c:pt>
                <c:pt idx="2">
                  <c:v>-11</c:v>
                </c:pt>
                <c:pt idx="3">
                  <c:v>-12</c:v>
                </c:pt>
                <c:pt idx="4">
                  <c:v>12</c:v>
                </c:pt>
                <c:pt idx="5">
                  <c:v>-12</c:v>
                </c:pt>
                <c:pt idx="6">
                  <c:v>11.5</c:v>
                </c:pt>
                <c:pt idx="7">
                  <c:v>11.5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11.5</c:v>
                </c:pt>
                <c:pt idx="12">
                  <c:v>-11.5</c:v>
                </c:pt>
                <c:pt idx="13">
                  <c:v>-12</c:v>
                </c:pt>
                <c:pt idx="14">
                  <c:v>12.5</c:v>
                </c:pt>
                <c:pt idx="15">
                  <c:v>-12.5</c:v>
                </c:pt>
                <c:pt idx="16">
                  <c:v>12.5</c:v>
                </c:pt>
                <c:pt idx="17">
                  <c:v>-12</c:v>
                </c:pt>
                <c:pt idx="18">
                  <c:v>12</c:v>
                </c:pt>
                <c:pt idx="19">
                  <c:v>12</c:v>
                </c:pt>
                <c:pt idx="20">
                  <c:v>-12.5</c:v>
                </c:pt>
                <c:pt idx="21">
                  <c:v>-13</c:v>
                </c:pt>
                <c:pt idx="22">
                  <c:v>-13</c:v>
                </c:pt>
                <c:pt idx="23">
                  <c:v>13</c:v>
                </c:pt>
                <c:pt idx="24">
                  <c:v>13.5</c:v>
                </c:pt>
                <c:pt idx="25">
                  <c:v>-14</c:v>
                </c:pt>
                <c:pt idx="26">
                  <c:v>14</c:v>
                </c:pt>
                <c:pt idx="27">
                  <c:v>-14</c:v>
                </c:pt>
                <c:pt idx="28">
                  <c:v>13.5</c:v>
                </c:pt>
                <c:pt idx="29">
                  <c:v>-13.5</c:v>
                </c:pt>
                <c:pt idx="30">
                  <c:v>-13.5</c:v>
                </c:pt>
                <c:pt idx="31">
                  <c:v>-14</c:v>
                </c:pt>
                <c:pt idx="32">
                  <c:v>14</c:v>
                </c:pt>
                <c:pt idx="33">
                  <c:v>-14</c:v>
                </c:pt>
                <c:pt idx="34">
                  <c:v>-13.5</c:v>
                </c:pt>
                <c:pt idx="35">
                  <c:v>-14</c:v>
                </c:pt>
                <c:pt idx="36">
                  <c:v>-14</c:v>
                </c:pt>
                <c:pt idx="37">
                  <c:v>14.5</c:v>
                </c:pt>
                <c:pt idx="38">
                  <c:v>-15</c:v>
                </c:pt>
                <c:pt idx="39">
                  <c:v>-15</c:v>
                </c:pt>
                <c:pt idx="40">
                  <c:v>15</c:v>
                </c:pt>
                <c:pt idx="41">
                  <c:v>-15.5</c:v>
                </c:pt>
                <c:pt idx="42">
                  <c:v>-15.5</c:v>
                </c:pt>
                <c:pt idx="43">
                  <c:v>15.5</c:v>
                </c:pt>
                <c:pt idx="44">
                  <c:v>-16</c:v>
                </c:pt>
                <c:pt idx="45">
                  <c:v>16</c:v>
                </c:pt>
                <c:pt idx="46">
                  <c:v>-16.5</c:v>
                </c:pt>
                <c:pt idx="47">
                  <c:v>17</c:v>
                </c:pt>
                <c:pt idx="48">
                  <c:v>-17.5</c:v>
                </c:pt>
                <c:pt idx="49">
                  <c:v>-17.5</c:v>
                </c:pt>
                <c:pt idx="50">
                  <c:v>18</c:v>
                </c:pt>
                <c:pt idx="51">
                  <c:v>-18.5</c:v>
                </c:pt>
                <c:pt idx="52">
                  <c:v>18.5</c:v>
                </c:pt>
                <c:pt idx="53">
                  <c:v>18.5</c:v>
                </c:pt>
                <c:pt idx="54">
                  <c:v>-19</c:v>
                </c:pt>
                <c:pt idx="55">
                  <c:v>-19</c:v>
                </c:pt>
                <c:pt idx="56">
                  <c:v>-19.5</c:v>
                </c:pt>
                <c:pt idx="57">
                  <c:v>-19.5</c:v>
                </c:pt>
                <c:pt idx="58">
                  <c:v>-19.5</c:v>
                </c:pt>
                <c:pt idx="59">
                  <c:v>19</c:v>
                </c:pt>
                <c:pt idx="60">
                  <c:v>19.5</c:v>
                </c:pt>
                <c:pt idx="61">
                  <c:v>19.5</c:v>
                </c:pt>
                <c:pt idx="62">
                  <c:v>-19.5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-20</c:v>
                </c:pt>
                <c:pt idx="67">
                  <c:v>20</c:v>
                </c:pt>
                <c:pt idx="68">
                  <c:v>-20</c:v>
                </c:pt>
                <c:pt idx="69">
                  <c:v>19.5</c:v>
                </c:pt>
                <c:pt idx="70">
                  <c:v>19.5</c:v>
                </c:pt>
                <c:pt idx="71">
                  <c:v>-19.5</c:v>
                </c:pt>
                <c:pt idx="72">
                  <c:v>-20</c:v>
                </c:pt>
                <c:pt idx="73">
                  <c:v>-20</c:v>
                </c:pt>
                <c:pt idx="74">
                  <c:v>-20</c:v>
                </c:pt>
                <c:pt idx="75">
                  <c:v>-19.5</c:v>
                </c:pt>
                <c:pt idx="76">
                  <c:v>19.5</c:v>
                </c:pt>
                <c:pt idx="77">
                  <c:v>-19.5</c:v>
                </c:pt>
                <c:pt idx="78">
                  <c:v>19</c:v>
                </c:pt>
                <c:pt idx="79">
                  <c:v>19</c:v>
                </c:pt>
                <c:pt idx="80">
                  <c:v>19.5</c:v>
                </c:pt>
                <c:pt idx="81">
                  <c:v>-19.5</c:v>
                </c:pt>
                <c:pt idx="82">
                  <c:v>20</c:v>
                </c:pt>
                <c:pt idx="83">
                  <c:v>-20</c:v>
                </c:pt>
                <c:pt idx="84">
                  <c:v>20</c:v>
                </c:pt>
                <c:pt idx="85">
                  <c:v>-19.5</c:v>
                </c:pt>
                <c:pt idx="86">
                  <c:v>-19.5</c:v>
                </c:pt>
                <c:pt idx="87">
                  <c:v>-19.5</c:v>
                </c:pt>
                <c:pt idx="88">
                  <c:v>19</c:v>
                </c:pt>
                <c:pt idx="89">
                  <c:v>-19.5</c:v>
                </c:pt>
                <c:pt idx="90">
                  <c:v>19.5</c:v>
                </c:pt>
                <c:pt idx="91">
                  <c:v>19.5</c:v>
                </c:pt>
                <c:pt idx="92">
                  <c:v>-20</c:v>
                </c:pt>
                <c:pt idx="93">
                  <c:v>-20</c:v>
                </c:pt>
                <c:pt idx="94">
                  <c:v>-20</c:v>
                </c:pt>
                <c:pt idx="95">
                  <c:v>20</c:v>
                </c:pt>
                <c:pt idx="96">
                  <c:v>-20</c:v>
                </c:pt>
                <c:pt idx="97">
                  <c:v>-19.5</c:v>
                </c:pt>
                <c:pt idx="98">
                  <c:v>19.5</c:v>
                </c:pt>
                <c:pt idx="9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3-EB4A-A1E8-0D32205F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672489904"/>
        <c:axId val="672577952"/>
      </c:lineChart>
      <c:catAx>
        <c:axId val="67248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Trials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77952"/>
        <c:crosses val="autoZero"/>
        <c:auto val="1"/>
        <c:lblAlgn val="ctr"/>
        <c:lblOffset val="100"/>
        <c:noMultiLvlLbl val="0"/>
      </c:catAx>
      <c:valAx>
        <c:axId val="6725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Degree if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8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Degree of </a:t>
            </a:r>
            <a:r>
              <a:rPr lang="en-US" baseline="0"/>
              <a:t>Tilt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Sheet1!$N$1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Sheet1!$N$2:$N$101</c:f>
              <c:numCache>
                <c:formatCode>General</c:formatCode>
                <c:ptCount val="100"/>
                <c:pt idx="0">
                  <c:v>10</c:v>
                </c:pt>
                <c:pt idx="1">
                  <c:v>12</c:v>
                </c:pt>
                <c:pt idx="2">
                  <c:v>-11</c:v>
                </c:pt>
                <c:pt idx="3">
                  <c:v>-12</c:v>
                </c:pt>
                <c:pt idx="4">
                  <c:v>12</c:v>
                </c:pt>
                <c:pt idx="5">
                  <c:v>-12</c:v>
                </c:pt>
                <c:pt idx="6">
                  <c:v>11.5</c:v>
                </c:pt>
                <c:pt idx="7">
                  <c:v>11.5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11.5</c:v>
                </c:pt>
                <c:pt idx="12">
                  <c:v>-11.5</c:v>
                </c:pt>
                <c:pt idx="13">
                  <c:v>-12</c:v>
                </c:pt>
                <c:pt idx="14">
                  <c:v>12.5</c:v>
                </c:pt>
                <c:pt idx="15">
                  <c:v>-12.5</c:v>
                </c:pt>
                <c:pt idx="16">
                  <c:v>12.5</c:v>
                </c:pt>
                <c:pt idx="17">
                  <c:v>-12</c:v>
                </c:pt>
                <c:pt idx="18">
                  <c:v>12</c:v>
                </c:pt>
                <c:pt idx="19">
                  <c:v>12</c:v>
                </c:pt>
                <c:pt idx="20">
                  <c:v>-12.5</c:v>
                </c:pt>
                <c:pt idx="21">
                  <c:v>-13</c:v>
                </c:pt>
                <c:pt idx="22">
                  <c:v>-13</c:v>
                </c:pt>
                <c:pt idx="23">
                  <c:v>13</c:v>
                </c:pt>
                <c:pt idx="24">
                  <c:v>13.5</c:v>
                </c:pt>
                <c:pt idx="25">
                  <c:v>-14</c:v>
                </c:pt>
                <c:pt idx="26">
                  <c:v>14</c:v>
                </c:pt>
                <c:pt idx="27">
                  <c:v>-14</c:v>
                </c:pt>
                <c:pt idx="28">
                  <c:v>13.5</c:v>
                </c:pt>
                <c:pt idx="29">
                  <c:v>-13.5</c:v>
                </c:pt>
                <c:pt idx="30">
                  <c:v>-13.5</c:v>
                </c:pt>
                <c:pt idx="31">
                  <c:v>-14</c:v>
                </c:pt>
                <c:pt idx="32">
                  <c:v>14</c:v>
                </c:pt>
                <c:pt idx="33">
                  <c:v>-14</c:v>
                </c:pt>
                <c:pt idx="34">
                  <c:v>-13.5</c:v>
                </c:pt>
                <c:pt idx="35">
                  <c:v>-14</c:v>
                </c:pt>
                <c:pt idx="36">
                  <c:v>-14</c:v>
                </c:pt>
                <c:pt idx="37">
                  <c:v>14.5</c:v>
                </c:pt>
                <c:pt idx="38">
                  <c:v>-15</c:v>
                </c:pt>
                <c:pt idx="39">
                  <c:v>-15</c:v>
                </c:pt>
                <c:pt idx="40">
                  <c:v>15</c:v>
                </c:pt>
                <c:pt idx="41">
                  <c:v>-15.5</c:v>
                </c:pt>
                <c:pt idx="42">
                  <c:v>-15.5</c:v>
                </c:pt>
                <c:pt idx="43">
                  <c:v>15.5</c:v>
                </c:pt>
                <c:pt idx="44">
                  <c:v>-16</c:v>
                </c:pt>
                <c:pt idx="45">
                  <c:v>16</c:v>
                </c:pt>
                <c:pt idx="46">
                  <c:v>-16.5</c:v>
                </c:pt>
                <c:pt idx="47">
                  <c:v>17</c:v>
                </c:pt>
                <c:pt idx="48">
                  <c:v>-17.5</c:v>
                </c:pt>
                <c:pt idx="49">
                  <c:v>-17.5</c:v>
                </c:pt>
                <c:pt idx="50">
                  <c:v>18</c:v>
                </c:pt>
                <c:pt idx="51">
                  <c:v>-18.5</c:v>
                </c:pt>
                <c:pt idx="52">
                  <c:v>18.5</c:v>
                </c:pt>
                <c:pt idx="53">
                  <c:v>18.5</c:v>
                </c:pt>
                <c:pt idx="54">
                  <c:v>-19</c:v>
                </c:pt>
                <c:pt idx="55">
                  <c:v>-19</c:v>
                </c:pt>
                <c:pt idx="56">
                  <c:v>-19.5</c:v>
                </c:pt>
                <c:pt idx="57">
                  <c:v>-19.5</c:v>
                </c:pt>
                <c:pt idx="58">
                  <c:v>-19.5</c:v>
                </c:pt>
                <c:pt idx="59">
                  <c:v>19</c:v>
                </c:pt>
                <c:pt idx="60">
                  <c:v>19.5</c:v>
                </c:pt>
                <c:pt idx="61">
                  <c:v>19.5</c:v>
                </c:pt>
                <c:pt idx="62">
                  <c:v>-19.5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-20</c:v>
                </c:pt>
                <c:pt idx="67">
                  <c:v>20</c:v>
                </c:pt>
                <c:pt idx="68">
                  <c:v>-20</c:v>
                </c:pt>
                <c:pt idx="69">
                  <c:v>19.5</c:v>
                </c:pt>
                <c:pt idx="70">
                  <c:v>19.5</c:v>
                </c:pt>
                <c:pt idx="71">
                  <c:v>-19.5</c:v>
                </c:pt>
                <c:pt idx="72">
                  <c:v>-20</c:v>
                </c:pt>
                <c:pt idx="73">
                  <c:v>-20</c:v>
                </c:pt>
                <c:pt idx="74">
                  <c:v>-20</c:v>
                </c:pt>
                <c:pt idx="75">
                  <c:v>-19.5</c:v>
                </c:pt>
                <c:pt idx="76">
                  <c:v>19.5</c:v>
                </c:pt>
                <c:pt idx="77">
                  <c:v>-19.5</c:v>
                </c:pt>
                <c:pt idx="78">
                  <c:v>19</c:v>
                </c:pt>
                <c:pt idx="79">
                  <c:v>19</c:v>
                </c:pt>
                <c:pt idx="80">
                  <c:v>19.5</c:v>
                </c:pt>
                <c:pt idx="81">
                  <c:v>-19.5</c:v>
                </c:pt>
                <c:pt idx="82">
                  <c:v>20</c:v>
                </c:pt>
                <c:pt idx="83">
                  <c:v>-20</c:v>
                </c:pt>
                <c:pt idx="84">
                  <c:v>20</c:v>
                </c:pt>
                <c:pt idx="85">
                  <c:v>-19.5</c:v>
                </c:pt>
                <c:pt idx="86">
                  <c:v>-19.5</c:v>
                </c:pt>
                <c:pt idx="87">
                  <c:v>-19.5</c:v>
                </c:pt>
                <c:pt idx="88">
                  <c:v>19</c:v>
                </c:pt>
                <c:pt idx="89">
                  <c:v>-19.5</c:v>
                </c:pt>
                <c:pt idx="90">
                  <c:v>19.5</c:v>
                </c:pt>
                <c:pt idx="91">
                  <c:v>19.5</c:v>
                </c:pt>
                <c:pt idx="92">
                  <c:v>-20</c:v>
                </c:pt>
                <c:pt idx="93">
                  <c:v>-20</c:v>
                </c:pt>
                <c:pt idx="94">
                  <c:v>-20</c:v>
                </c:pt>
                <c:pt idx="95">
                  <c:v>20</c:v>
                </c:pt>
                <c:pt idx="96">
                  <c:v>-20</c:v>
                </c:pt>
                <c:pt idx="97">
                  <c:v>-19.5</c:v>
                </c:pt>
                <c:pt idx="98">
                  <c:v>19.5</c:v>
                </c:pt>
                <c:pt idx="9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A-0942-B7D1-56C5D89D1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672489904"/>
        <c:axId val="672577952"/>
      </c:lineChart>
      <c:catAx>
        <c:axId val="67248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Trials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77952"/>
        <c:crosses val="autoZero"/>
        <c:auto val="1"/>
        <c:lblAlgn val="ctr"/>
        <c:lblOffset val="100"/>
        <c:noMultiLvlLbl val="0"/>
      </c:catAx>
      <c:valAx>
        <c:axId val="6725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Degree if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8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of</a:t>
            </a:r>
            <a:r>
              <a:rPr lang="en-US" baseline="0"/>
              <a:t> Responses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Sheet1!$O$1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Sheet1!$O$2:$O$101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E-0C44-BAE5-C86441C23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684848"/>
        <c:axId val="1350983536"/>
      </c:lineChart>
      <c:catAx>
        <c:axId val="135068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83536"/>
        <c:crosses val="autoZero"/>
        <c:auto val="1"/>
        <c:lblAlgn val="ctr"/>
        <c:lblOffset val="100"/>
        <c:noMultiLvlLbl val="0"/>
      </c:catAx>
      <c:valAx>
        <c:axId val="135098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8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111</xdr:row>
      <xdr:rowOff>0</xdr:rowOff>
    </xdr:from>
    <xdr:to>
      <xdr:col>8</xdr:col>
      <xdr:colOff>465985</xdr:colOff>
      <xdr:row>124</xdr:row>
      <xdr:rowOff>136358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BE0BBA-1400-E747-8D28-4779CA960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783007</xdr:colOff>
      <xdr:row>111</xdr:row>
      <xdr:rowOff>0</xdr:rowOff>
    </xdr:from>
    <xdr:to>
      <xdr:col>17</xdr:col>
      <xdr:colOff>514254</xdr:colOff>
      <xdr:row>124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754A28-8937-1543-8F3C-C38F6C9DF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158273</xdr:colOff>
      <xdr:row>14</xdr:row>
      <xdr:rowOff>1814</xdr:rowOff>
    </xdr:from>
    <xdr:to>
      <xdr:col>15</xdr:col>
      <xdr:colOff>680644</xdr:colOff>
      <xdr:row>27</xdr:row>
      <xdr:rowOff>68656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5D6C8-F049-6B48-A12F-FAB905C1B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673100</xdr:colOff>
      <xdr:row>0</xdr:row>
      <xdr:rowOff>114300</xdr:rowOff>
    </xdr:from>
    <xdr:to>
      <xdr:col>8</xdr:col>
      <xdr:colOff>292100</xdr:colOff>
      <xdr:row>14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8CE581-4CC0-4C46-8218-E389D202E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354E-6A49-1943-96F4-389F2B08FE2D}">
  <dimension ref="A1:Y104"/>
  <sheetViews>
    <sheetView tabSelected="1" topLeftCell="F107" zoomScale="133" workbookViewId="0">
      <selection activeCell="K109" sqref="K109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</row>
    <row r="2" spans="1:25" x14ac:dyDescent="0.2">
      <c r="A2" s="1">
        <v>0</v>
      </c>
      <c r="B2" s="3">
        <v>2</v>
      </c>
      <c r="C2" s="3">
        <v>10</v>
      </c>
      <c r="D2" s="3">
        <v>0.21124658299959301</v>
      </c>
      <c r="E2" s="2"/>
      <c r="F2" s="3">
        <v>0.141213957991567</v>
      </c>
      <c r="G2" s="3">
        <v>0.21124658299959301</v>
      </c>
      <c r="H2" s="3">
        <v>0.51694600000337199</v>
      </c>
      <c r="I2" s="3">
        <v>0.51694600000337199</v>
      </c>
      <c r="J2" s="3">
        <v>0.69869666699378297</v>
      </c>
      <c r="K2" s="3">
        <v>0.81258808299025997</v>
      </c>
      <c r="L2" s="3">
        <v>3.4753307079954499</v>
      </c>
      <c r="M2" s="3" t="s">
        <v>24</v>
      </c>
      <c r="N2" s="3">
        <v>10</v>
      </c>
      <c r="O2" s="3">
        <v>0</v>
      </c>
      <c r="P2" s="3">
        <v>0</v>
      </c>
      <c r="Q2" s="3">
        <v>2.7264850000065102</v>
      </c>
      <c r="R2" s="3">
        <v>834302</v>
      </c>
      <c r="S2" s="3">
        <v>1</v>
      </c>
      <c r="T2" s="3" t="s">
        <v>25</v>
      </c>
      <c r="U2" s="3" t="s">
        <v>26</v>
      </c>
      <c r="V2" s="2"/>
      <c r="W2" s="3" t="s">
        <v>27</v>
      </c>
      <c r="X2" s="3" t="s">
        <v>28</v>
      </c>
      <c r="Y2" s="2"/>
    </row>
    <row r="3" spans="1:25" x14ac:dyDescent="0.2">
      <c r="A3" s="1">
        <v>1</v>
      </c>
      <c r="B3" s="3">
        <v>1</v>
      </c>
      <c r="C3" s="3">
        <v>12</v>
      </c>
      <c r="D3" s="3">
        <v>3.4905408329941601</v>
      </c>
      <c r="E3" s="2"/>
      <c r="F3" s="3">
        <v>3.4754722499928898</v>
      </c>
      <c r="G3" s="3">
        <v>3.4905408329941601</v>
      </c>
      <c r="H3" s="3">
        <v>3.9665336250036498</v>
      </c>
      <c r="I3" s="3">
        <v>3.9665336250036498</v>
      </c>
      <c r="J3" s="3">
        <v>3.9816003750020199</v>
      </c>
      <c r="K3" s="2"/>
      <c r="L3" s="3">
        <v>4.1130264169914899</v>
      </c>
      <c r="M3" s="3" t="s">
        <v>24</v>
      </c>
      <c r="N3" s="3">
        <v>12</v>
      </c>
      <c r="O3" s="3">
        <v>1</v>
      </c>
      <c r="P3" s="3">
        <v>1</v>
      </c>
      <c r="Q3" s="3">
        <v>0.13574787499965199</v>
      </c>
      <c r="R3" s="3">
        <v>834302</v>
      </c>
      <c r="S3" s="3">
        <v>1</v>
      </c>
      <c r="T3" s="3" t="s">
        <v>25</v>
      </c>
      <c r="U3" s="3" t="s">
        <v>26</v>
      </c>
      <c r="V3" s="2"/>
      <c r="W3" s="3" t="s">
        <v>27</v>
      </c>
      <c r="X3" s="3" t="s">
        <v>28</v>
      </c>
      <c r="Y3" s="2"/>
    </row>
    <row r="4" spans="1:25" x14ac:dyDescent="0.2">
      <c r="A4" s="1">
        <v>2</v>
      </c>
      <c r="B4" s="3">
        <v>1</v>
      </c>
      <c r="C4" s="3">
        <v>11</v>
      </c>
      <c r="D4" s="3">
        <v>4.1241358330007598</v>
      </c>
      <c r="E4" s="2"/>
      <c r="F4" s="3">
        <v>4.1134832919924502</v>
      </c>
      <c r="G4" s="3">
        <v>4.1241358330007598</v>
      </c>
      <c r="H4" s="3">
        <v>4.6108535829989696</v>
      </c>
      <c r="I4" s="3">
        <v>4.6108535829989696</v>
      </c>
      <c r="J4" s="3">
        <v>4.6148192499967999</v>
      </c>
      <c r="K4" s="2"/>
      <c r="L4" s="3">
        <v>4.6832072919933099</v>
      </c>
      <c r="M4" s="3" t="s">
        <v>29</v>
      </c>
      <c r="N4" s="3">
        <v>-11</v>
      </c>
      <c r="O4" s="3">
        <v>0</v>
      </c>
      <c r="P4" s="3">
        <v>0</v>
      </c>
      <c r="Q4" s="3">
        <v>6.9406041002366706E-2</v>
      </c>
      <c r="R4" s="3">
        <v>834302</v>
      </c>
      <c r="S4" s="3">
        <v>1</v>
      </c>
      <c r="T4" s="3" t="s">
        <v>25</v>
      </c>
      <c r="U4" s="3" t="s">
        <v>26</v>
      </c>
      <c r="V4" s="2"/>
      <c r="W4" s="3" t="s">
        <v>27</v>
      </c>
      <c r="X4" s="3" t="s">
        <v>28</v>
      </c>
      <c r="Y4" s="2"/>
    </row>
    <row r="5" spans="1:25" x14ac:dyDescent="0.2">
      <c r="A5" s="1">
        <v>3</v>
      </c>
      <c r="B5" s="3">
        <v>1</v>
      </c>
      <c r="C5" s="3">
        <v>12</v>
      </c>
      <c r="D5" s="3">
        <v>4.6991595830040804</v>
      </c>
      <c r="E5" s="2"/>
      <c r="F5" s="3">
        <v>4.6835558329912601</v>
      </c>
      <c r="G5" s="3">
        <v>4.6991595830040804</v>
      </c>
      <c r="H5" s="3">
        <v>5.1834993329975996</v>
      </c>
      <c r="I5" s="3">
        <v>5.1834993329975996</v>
      </c>
      <c r="J5" s="3">
        <v>5.1942080829903698</v>
      </c>
      <c r="K5" s="3">
        <v>5.4814698749978596</v>
      </c>
      <c r="L5" s="3">
        <v>5.73344691700186</v>
      </c>
      <c r="M5" s="3" t="s">
        <v>29</v>
      </c>
      <c r="N5" s="3">
        <v>-12</v>
      </c>
      <c r="O5" s="3">
        <v>1</v>
      </c>
      <c r="P5" s="3">
        <v>1</v>
      </c>
      <c r="Q5" s="3">
        <v>0.544839458001661</v>
      </c>
      <c r="R5" s="3">
        <v>834302</v>
      </c>
      <c r="S5" s="3">
        <v>1</v>
      </c>
      <c r="T5" s="3" t="s">
        <v>25</v>
      </c>
      <c r="U5" s="3" t="s">
        <v>26</v>
      </c>
      <c r="V5" s="2"/>
      <c r="W5" s="3" t="s">
        <v>27</v>
      </c>
      <c r="X5" s="3" t="s">
        <v>28</v>
      </c>
      <c r="Y5" s="2"/>
    </row>
    <row r="6" spans="1:25" x14ac:dyDescent="0.2">
      <c r="A6" s="1">
        <v>4</v>
      </c>
      <c r="B6" s="3">
        <v>1</v>
      </c>
      <c r="C6" s="3">
        <v>12</v>
      </c>
      <c r="D6" s="3">
        <v>5.7436380830040399</v>
      </c>
      <c r="E6" s="2"/>
      <c r="F6" s="3">
        <v>5.73381570799393</v>
      </c>
      <c r="G6" s="3">
        <v>5.7436380830040399</v>
      </c>
      <c r="H6" s="3">
        <v>6.2322427500039304</v>
      </c>
      <c r="I6" s="3">
        <v>6.2322427500039304</v>
      </c>
      <c r="J6" s="3">
        <v>6.2322427500039304</v>
      </c>
      <c r="K6" s="3">
        <v>6.5278019999968802</v>
      </c>
      <c r="L6" s="3">
        <v>6.6295648329978603</v>
      </c>
      <c r="M6" s="3" t="s">
        <v>24</v>
      </c>
      <c r="N6" s="3">
        <v>12</v>
      </c>
      <c r="O6" s="3">
        <v>1</v>
      </c>
      <c r="P6" s="3">
        <v>1</v>
      </c>
      <c r="Q6" s="3">
        <v>0.39518495800439302</v>
      </c>
      <c r="R6" s="3">
        <v>834302</v>
      </c>
      <c r="S6" s="3">
        <v>1</v>
      </c>
      <c r="T6" s="3" t="s">
        <v>25</v>
      </c>
      <c r="U6" s="3" t="s">
        <v>26</v>
      </c>
      <c r="V6" s="2"/>
      <c r="W6" s="3" t="s">
        <v>27</v>
      </c>
      <c r="X6" s="3" t="s">
        <v>28</v>
      </c>
      <c r="Y6" s="2"/>
    </row>
    <row r="7" spans="1:25" x14ac:dyDescent="0.2">
      <c r="A7" s="1">
        <v>5</v>
      </c>
      <c r="B7" s="3">
        <v>0.5</v>
      </c>
      <c r="C7" s="3">
        <v>12</v>
      </c>
      <c r="D7" s="3">
        <v>6.6384672919957701</v>
      </c>
      <c r="E7" s="2"/>
      <c r="F7" s="3">
        <v>6.6299349170003596</v>
      </c>
      <c r="G7" s="3">
        <v>6.6384672919957701</v>
      </c>
      <c r="H7" s="3">
        <v>7.1275395419943397</v>
      </c>
      <c r="I7" s="3">
        <v>7.1275395419943397</v>
      </c>
      <c r="J7" s="3">
        <v>7.1320957919961101</v>
      </c>
      <c r="K7" s="3">
        <v>7.4153962080017699</v>
      </c>
      <c r="L7" s="3">
        <v>7.46302345799631</v>
      </c>
      <c r="M7" s="3" t="s">
        <v>29</v>
      </c>
      <c r="N7" s="3">
        <v>-12</v>
      </c>
      <c r="O7" s="3">
        <v>1</v>
      </c>
      <c r="P7" s="3">
        <v>1</v>
      </c>
      <c r="Q7" s="3">
        <v>0.32169579200854098</v>
      </c>
      <c r="R7" s="3">
        <v>834302</v>
      </c>
      <c r="S7" s="3">
        <v>1</v>
      </c>
      <c r="T7" s="3" t="s">
        <v>25</v>
      </c>
      <c r="U7" s="3" t="s">
        <v>26</v>
      </c>
      <c r="V7" s="2"/>
      <c r="W7" s="3" t="s">
        <v>27</v>
      </c>
      <c r="X7" s="3" t="s">
        <v>28</v>
      </c>
      <c r="Y7" s="2"/>
    </row>
    <row r="8" spans="1:25" x14ac:dyDescent="0.2">
      <c r="A8" s="1">
        <v>6</v>
      </c>
      <c r="B8" s="3">
        <v>0.5</v>
      </c>
      <c r="C8" s="3">
        <v>11.5</v>
      </c>
      <c r="D8" s="3">
        <v>7.4712515830033199</v>
      </c>
      <c r="E8" s="2"/>
      <c r="F8" s="3">
        <v>7.4634633749956301</v>
      </c>
      <c r="G8" s="3">
        <v>7.4712515830033199</v>
      </c>
      <c r="H8" s="3">
        <v>7.9609537920041502</v>
      </c>
      <c r="I8" s="3">
        <v>7.9609537920041502</v>
      </c>
      <c r="J8" s="3">
        <v>7.9651418749999703</v>
      </c>
      <c r="K8" s="2"/>
      <c r="L8" s="3">
        <v>8.2296966249996295</v>
      </c>
      <c r="M8" s="3" t="s">
        <v>24</v>
      </c>
      <c r="N8" s="3">
        <v>11.5</v>
      </c>
      <c r="O8" s="3">
        <v>1</v>
      </c>
      <c r="P8" s="3">
        <v>1</v>
      </c>
      <c r="Q8" s="3">
        <v>0.266522999998415</v>
      </c>
      <c r="R8" s="3">
        <v>834302</v>
      </c>
      <c r="S8" s="3">
        <v>1</v>
      </c>
      <c r="T8" s="3" t="s">
        <v>25</v>
      </c>
      <c r="U8" s="3" t="s">
        <v>26</v>
      </c>
      <c r="V8" s="2"/>
      <c r="W8" s="3" t="s">
        <v>27</v>
      </c>
      <c r="X8" s="3" t="s">
        <v>28</v>
      </c>
      <c r="Y8" s="2"/>
    </row>
    <row r="9" spans="1:25" x14ac:dyDescent="0.2">
      <c r="A9" s="1">
        <v>7</v>
      </c>
      <c r="B9" s="3">
        <v>0.5</v>
      </c>
      <c r="C9" s="3">
        <v>11.5</v>
      </c>
      <c r="D9" s="3">
        <v>8.2384781250002597</v>
      </c>
      <c r="E9" s="2"/>
      <c r="F9" s="3">
        <v>8.2300989579962298</v>
      </c>
      <c r="G9" s="3">
        <v>8.2384781250002597</v>
      </c>
      <c r="H9" s="3">
        <v>8.7275758750038204</v>
      </c>
      <c r="I9" s="3">
        <v>8.7275758750038204</v>
      </c>
      <c r="J9" s="3">
        <v>8.7318622079910693</v>
      </c>
      <c r="K9" s="2"/>
      <c r="L9" s="3">
        <v>8.9466432499903004</v>
      </c>
      <c r="M9" s="3" t="s">
        <v>24</v>
      </c>
      <c r="N9" s="3">
        <v>11.5</v>
      </c>
      <c r="O9" s="3">
        <v>0</v>
      </c>
      <c r="P9" s="3">
        <v>0</v>
      </c>
      <c r="Q9" s="3">
        <v>0.215852499997709</v>
      </c>
      <c r="R9" s="3">
        <v>834302</v>
      </c>
      <c r="S9" s="3">
        <v>1</v>
      </c>
      <c r="T9" s="3" t="s">
        <v>25</v>
      </c>
      <c r="U9" s="3" t="s">
        <v>26</v>
      </c>
      <c r="V9" s="2"/>
      <c r="W9" s="3" t="s">
        <v>27</v>
      </c>
      <c r="X9" s="3" t="s">
        <v>28</v>
      </c>
      <c r="Y9" s="2"/>
    </row>
    <row r="10" spans="1:25" x14ac:dyDescent="0.2">
      <c r="A10" s="1">
        <v>8</v>
      </c>
      <c r="B10" s="3">
        <v>0.5</v>
      </c>
      <c r="C10" s="3">
        <v>12</v>
      </c>
      <c r="D10" s="3">
        <v>8.9545507500006405</v>
      </c>
      <c r="E10" s="2"/>
      <c r="F10" s="3">
        <v>8.9470650829898695</v>
      </c>
      <c r="G10" s="3">
        <v>8.9545507500006405</v>
      </c>
      <c r="H10" s="3">
        <v>9.4443998329952592</v>
      </c>
      <c r="I10" s="3">
        <v>9.4443998329952592</v>
      </c>
      <c r="J10" s="3">
        <v>9.4485179579933192</v>
      </c>
      <c r="K10" s="3">
        <v>9.7318088750034804</v>
      </c>
      <c r="L10" s="3">
        <v>9.7635280419926893</v>
      </c>
      <c r="M10" s="3" t="s">
        <v>24</v>
      </c>
      <c r="N10" s="3">
        <v>12</v>
      </c>
      <c r="O10" s="3">
        <v>1</v>
      </c>
      <c r="P10" s="3">
        <v>1</v>
      </c>
      <c r="Q10" s="3">
        <v>0.31697658299526699</v>
      </c>
      <c r="R10" s="3">
        <v>834302</v>
      </c>
      <c r="S10" s="3">
        <v>1</v>
      </c>
      <c r="T10" s="3" t="s">
        <v>25</v>
      </c>
      <c r="U10" s="3" t="s">
        <v>26</v>
      </c>
      <c r="V10" s="2"/>
      <c r="W10" s="3" t="s">
        <v>27</v>
      </c>
      <c r="X10" s="3" t="s">
        <v>28</v>
      </c>
      <c r="Y10" s="2"/>
    </row>
    <row r="11" spans="1:25" x14ac:dyDescent="0.2">
      <c r="A11" s="1">
        <v>9</v>
      </c>
      <c r="B11" s="3">
        <v>0.5</v>
      </c>
      <c r="C11" s="3">
        <v>12</v>
      </c>
      <c r="D11" s="3">
        <v>9.7709021670016192</v>
      </c>
      <c r="E11" s="2"/>
      <c r="F11" s="3">
        <v>9.7638825419999193</v>
      </c>
      <c r="G11" s="3">
        <v>9.7709021670016192</v>
      </c>
      <c r="H11" s="3">
        <v>10.261040832992901</v>
      </c>
      <c r="I11" s="3">
        <v>10.261040832992901</v>
      </c>
      <c r="J11" s="3">
        <v>10.265861749998299</v>
      </c>
      <c r="K11" s="3">
        <v>10.548837082998901</v>
      </c>
      <c r="L11" s="3">
        <v>10.6296238749928</v>
      </c>
      <c r="M11" s="3" t="s">
        <v>24</v>
      </c>
      <c r="N11" s="3">
        <v>12</v>
      </c>
      <c r="O11" s="3">
        <v>1</v>
      </c>
      <c r="P11" s="3">
        <v>1</v>
      </c>
      <c r="Q11" s="3">
        <v>0.35516808400279798</v>
      </c>
      <c r="R11" s="3">
        <v>834302</v>
      </c>
      <c r="S11" s="3">
        <v>1</v>
      </c>
      <c r="T11" s="3" t="s">
        <v>25</v>
      </c>
      <c r="U11" s="3" t="s">
        <v>26</v>
      </c>
      <c r="V11" s="2"/>
      <c r="W11" s="3" t="s">
        <v>27</v>
      </c>
      <c r="X11" s="3" t="s">
        <v>28</v>
      </c>
      <c r="Y11" s="2"/>
    </row>
    <row r="12" spans="1:25" x14ac:dyDescent="0.2">
      <c r="A12" s="1">
        <v>10</v>
      </c>
      <c r="B12" s="3">
        <v>0.5</v>
      </c>
      <c r="C12" s="3">
        <v>12</v>
      </c>
      <c r="D12" s="3">
        <v>10.637668832991</v>
      </c>
      <c r="E12" s="2"/>
      <c r="F12" s="3">
        <v>10.6299203329982</v>
      </c>
      <c r="G12" s="3">
        <v>10.637668832991</v>
      </c>
      <c r="H12" s="3">
        <v>11.1273992499919</v>
      </c>
      <c r="I12" s="3">
        <v>11.1273992499919</v>
      </c>
      <c r="J12" s="3">
        <v>11.1321473749995</v>
      </c>
      <c r="K12" s="3">
        <v>11.4151006669999</v>
      </c>
      <c r="L12" s="3">
        <v>11.513773416998401</v>
      </c>
      <c r="M12" s="3" t="s">
        <v>24</v>
      </c>
      <c r="N12" s="3">
        <v>12</v>
      </c>
      <c r="O12" s="3">
        <v>1</v>
      </c>
      <c r="P12" s="3">
        <v>1</v>
      </c>
      <c r="Q12" s="3">
        <v>0.37286504200892501</v>
      </c>
      <c r="R12" s="3">
        <v>834302</v>
      </c>
      <c r="S12" s="3">
        <v>1</v>
      </c>
      <c r="T12" s="3" t="s">
        <v>25</v>
      </c>
      <c r="U12" s="3" t="s">
        <v>26</v>
      </c>
      <c r="V12" s="2"/>
      <c r="W12" s="3" t="s">
        <v>27</v>
      </c>
      <c r="X12" s="3" t="s">
        <v>28</v>
      </c>
      <c r="Y12" s="2"/>
    </row>
    <row r="13" spans="1:25" x14ac:dyDescent="0.2">
      <c r="A13" s="1">
        <v>11</v>
      </c>
      <c r="B13" s="3">
        <v>0.5</v>
      </c>
      <c r="C13" s="3">
        <v>11.5</v>
      </c>
      <c r="D13" s="3">
        <v>11.523919291998</v>
      </c>
      <c r="E13" s="2"/>
      <c r="F13" s="3">
        <v>11.514216374998799</v>
      </c>
      <c r="G13" s="3">
        <v>11.523919291998</v>
      </c>
      <c r="H13" s="3">
        <v>12.011035417002899</v>
      </c>
      <c r="I13" s="3">
        <v>12.011035417002899</v>
      </c>
      <c r="J13" s="3">
        <v>12.015421541989801</v>
      </c>
      <c r="K13" s="3">
        <v>12.2985157919902</v>
      </c>
      <c r="L13" s="3">
        <v>12.396912249998399</v>
      </c>
      <c r="M13" s="3" t="s">
        <v>24</v>
      </c>
      <c r="N13" s="3">
        <v>11.5</v>
      </c>
      <c r="O13" s="3">
        <v>1</v>
      </c>
      <c r="P13" s="3">
        <v>1</v>
      </c>
      <c r="Q13" s="3">
        <v>0.371477042004699</v>
      </c>
      <c r="R13" s="3">
        <v>834302</v>
      </c>
      <c r="S13" s="3">
        <v>1</v>
      </c>
      <c r="T13" s="3" t="s">
        <v>25</v>
      </c>
      <c r="U13" s="3" t="s">
        <v>26</v>
      </c>
      <c r="V13" s="2"/>
      <c r="W13" s="3" t="s">
        <v>27</v>
      </c>
      <c r="X13" s="3" t="s">
        <v>28</v>
      </c>
      <c r="Y13" s="2"/>
    </row>
    <row r="14" spans="1:25" x14ac:dyDescent="0.2">
      <c r="A14" s="1">
        <v>12</v>
      </c>
      <c r="B14" s="3">
        <v>0.5</v>
      </c>
      <c r="C14" s="3">
        <v>11.5</v>
      </c>
      <c r="D14" s="3">
        <v>12.4048416669975</v>
      </c>
      <c r="E14" s="2"/>
      <c r="F14" s="3">
        <v>12.3973040830024</v>
      </c>
      <c r="G14" s="3">
        <v>12.4048416669975</v>
      </c>
      <c r="H14" s="3">
        <v>12.894364207997601</v>
      </c>
      <c r="I14" s="3">
        <v>12.894364207997601</v>
      </c>
      <c r="J14" s="3">
        <v>12.8986747079907</v>
      </c>
      <c r="K14" s="3">
        <v>13.1817047499935</v>
      </c>
      <c r="L14" s="3">
        <v>13.2306748749979</v>
      </c>
      <c r="M14" s="3" t="s">
        <v>29</v>
      </c>
      <c r="N14" s="3">
        <v>-11.5</v>
      </c>
      <c r="O14" s="3">
        <v>0</v>
      </c>
      <c r="P14" s="3">
        <v>0</v>
      </c>
      <c r="Q14" s="3">
        <v>0.33195937500568101</v>
      </c>
      <c r="R14" s="3">
        <v>834302</v>
      </c>
      <c r="S14" s="3">
        <v>1</v>
      </c>
      <c r="T14" s="3" t="s">
        <v>25</v>
      </c>
      <c r="U14" s="3" t="s">
        <v>26</v>
      </c>
      <c r="V14" s="2"/>
      <c r="W14" s="3" t="s">
        <v>27</v>
      </c>
      <c r="X14" s="3" t="s">
        <v>28</v>
      </c>
      <c r="Y14" s="2"/>
    </row>
    <row r="15" spans="1:25" x14ac:dyDescent="0.2">
      <c r="A15" s="1">
        <v>13</v>
      </c>
      <c r="B15" s="3">
        <v>0.5</v>
      </c>
      <c r="C15" s="3">
        <v>12</v>
      </c>
      <c r="D15" s="3">
        <v>13.2381794999965</v>
      </c>
      <c r="E15" s="2"/>
      <c r="F15" s="3">
        <v>13.2310197499901</v>
      </c>
      <c r="G15" s="3">
        <v>13.2381794999965</v>
      </c>
      <c r="H15" s="3">
        <v>13.7277124999964</v>
      </c>
      <c r="I15" s="3">
        <v>13.7277124999964</v>
      </c>
      <c r="J15" s="3">
        <v>13.732029541992199</v>
      </c>
      <c r="K15" s="3">
        <v>14.014721041996401</v>
      </c>
      <c r="L15" s="3">
        <v>14.0795417499903</v>
      </c>
      <c r="M15" s="3" t="s">
        <v>29</v>
      </c>
      <c r="N15" s="3">
        <v>-12</v>
      </c>
      <c r="O15" s="3">
        <v>0</v>
      </c>
      <c r="P15" s="3">
        <v>0</v>
      </c>
      <c r="Q15" s="3">
        <v>0.33825020800577499</v>
      </c>
      <c r="R15" s="3">
        <v>834302</v>
      </c>
      <c r="S15" s="3">
        <v>1</v>
      </c>
      <c r="T15" s="3" t="s">
        <v>25</v>
      </c>
      <c r="U15" s="3" t="s">
        <v>26</v>
      </c>
      <c r="V15" s="2"/>
      <c r="W15" s="3" t="s">
        <v>27</v>
      </c>
      <c r="X15" s="3" t="s">
        <v>28</v>
      </c>
      <c r="Y15" s="2"/>
    </row>
    <row r="16" spans="1:25" x14ac:dyDescent="0.2">
      <c r="A16" s="1">
        <v>14</v>
      </c>
      <c r="B16" s="3">
        <v>0.5</v>
      </c>
      <c r="C16" s="3">
        <v>12.5</v>
      </c>
      <c r="D16" s="3">
        <v>14.0873426250037</v>
      </c>
      <c r="E16" s="2"/>
      <c r="F16" s="3">
        <v>14.0799419579998</v>
      </c>
      <c r="G16" s="3">
        <v>14.0873426250037</v>
      </c>
      <c r="H16" s="3">
        <v>14.5777072079945</v>
      </c>
      <c r="I16" s="3">
        <v>14.5777072079945</v>
      </c>
      <c r="J16" s="3">
        <v>14.582366999995401</v>
      </c>
      <c r="K16" s="3">
        <v>14.8650765420025</v>
      </c>
      <c r="L16" s="3">
        <v>14.9334139580023</v>
      </c>
      <c r="M16" s="3" t="s">
        <v>24</v>
      </c>
      <c r="N16" s="3">
        <v>12.5</v>
      </c>
      <c r="O16" s="3">
        <v>1</v>
      </c>
      <c r="P16" s="3">
        <v>1</v>
      </c>
      <c r="Q16" s="3">
        <v>0.35356399999000099</v>
      </c>
      <c r="R16" s="3">
        <v>834302</v>
      </c>
      <c r="S16" s="3">
        <v>1</v>
      </c>
      <c r="T16" s="3" t="s">
        <v>25</v>
      </c>
      <c r="U16" s="3" t="s">
        <v>26</v>
      </c>
      <c r="V16" s="2"/>
      <c r="W16" s="3" t="s">
        <v>27</v>
      </c>
      <c r="X16" s="3" t="s">
        <v>28</v>
      </c>
      <c r="Y16" s="2"/>
    </row>
    <row r="17" spans="1:25" x14ac:dyDescent="0.2">
      <c r="A17" s="1">
        <v>15</v>
      </c>
      <c r="B17" s="3">
        <v>0.5</v>
      </c>
      <c r="C17" s="3">
        <v>12.5</v>
      </c>
      <c r="D17" s="3">
        <v>14.9442826669983</v>
      </c>
      <c r="E17" s="2"/>
      <c r="F17" s="3">
        <v>14.933844250001099</v>
      </c>
      <c r="G17" s="3">
        <v>14.9442826669983</v>
      </c>
      <c r="H17" s="3">
        <v>15.4325026669976</v>
      </c>
      <c r="I17" s="3">
        <v>15.4325026669976</v>
      </c>
      <c r="J17" s="3">
        <v>15.4325026669976</v>
      </c>
      <c r="K17" s="3">
        <v>15.727846249996199</v>
      </c>
      <c r="L17" s="3">
        <v>15.7294697920006</v>
      </c>
      <c r="M17" s="3" t="s">
        <v>29</v>
      </c>
      <c r="N17" s="3">
        <v>-12.5</v>
      </c>
      <c r="O17" s="3">
        <v>1</v>
      </c>
      <c r="P17" s="3">
        <v>1</v>
      </c>
      <c r="Q17" s="3">
        <v>0.29190566700708598</v>
      </c>
      <c r="R17" s="3">
        <v>834302</v>
      </c>
      <c r="S17" s="3">
        <v>1</v>
      </c>
      <c r="T17" s="3" t="s">
        <v>25</v>
      </c>
      <c r="U17" s="3" t="s">
        <v>26</v>
      </c>
      <c r="V17" s="2"/>
      <c r="W17" s="3" t="s">
        <v>27</v>
      </c>
      <c r="X17" s="3" t="s">
        <v>28</v>
      </c>
      <c r="Y17" s="2"/>
    </row>
    <row r="18" spans="1:25" x14ac:dyDescent="0.2">
      <c r="A18" s="1">
        <v>16</v>
      </c>
      <c r="B18" s="3">
        <v>0.5</v>
      </c>
      <c r="C18" s="3">
        <v>12.5</v>
      </c>
      <c r="D18" s="3">
        <v>15.7372065419913</v>
      </c>
      <c r="E18" s="2"/>
      <c r="F18" s="3">
        <v>15.7298316249944</v>
      </c>
      <c r="G18" s="3">
        <v>15.7372065419913</v>
      </c>
      <c r="H18" s="3">
        <v>16.2278308749956</v>
      </c>
      <c r="I18" s="3">
        <v>16.2278308749956</v>
      </c>
      <c r="J18" s="3">
        <v>16.232157666992901</v>
      </c>
      <c r="K18" s="2"/>
      <c r="L18" s="3">
        <v>16.446542207995702</v>
      </c>
      <c r="M18" s="3" t="s">
        <v>24</v>
      </c>
      <c r="N18" s="3">
        <v>12.5</v>
      </c>
      <c r="O18" s="3">
        <v>1</v>
      </c>
      <c r="P18" s="3">
        <v>1</v>
      </c>
      <c r="Q18" s="3">
        <v>0.20761054201284401</v>
      </c>
      <c r="R18" s="3">
        <v>834302</v>
      </c>
      <c r="S18" s="3">
        <v>1</v>
      </c>
      <c r="T18" s="3" t="s">
        <v>25</v>
      </c>
      <c r="U18" s="3" t="s">
        <v>26</v>
      </c>
      <c r="V18" s="2"/>
      <c r="W18" s="3" t="s">
        <v>27</v>
      </c>
      <c r="X18" s="3" t="s">
        <v>28</v>
      </c>
      <c r="Y18" s="2"/>
    </row>
    <row r="19" spans="1:25" x14ac:dyDescent="0.2">
      <c r="A19" s="1">
        <v>17</v>
      </c>
      <c r="B19" s="3">
        <v>0.5</v>
      </c>
      <c r="C19" s="3">
        <v>12</v>
      </c>
      <c r="D19" s="3">
        <v>16.454600124998301</v>
      </c>
      <c r="E19" s="2"/>
      <c r="F19" s="3">
        <v>16.447006832997399</v>
      </c>
      <c r="G19" s="3">
        <v>16.454600124998301</v>
      </c>
      <c r="H19" s="3">
        <v>16.9444547500025</v>
      </c>
      <c r="I19" s="3">
        <v>16.9444547500025</v>
      </c>
      <c r="J19" s="3">
        <v>16.948655707994501</v>
      </c>
      <c r="K19" s="2"/>
      <c r="L19" s="3">
        <v>17.1669456249947</v>
      </c>
      <c r="M19" s="3" t="s">
        <v>29</v>
      </c>
      <c r="N19" s="3">
        <v>-12</v>
      </c>
      <c r="O19" s="3">
        <v>1</v>
      </c>
      <c r="P19" s="3">
        <v>1</v>
      </c>
      <c r="Q19" s="3">
        <v>0.22090816599666099</v>
      </c>
      <c r="R19" s="3">
        <v>834302</v>
      </c>
      <c r="S19" s="3">
        <v>1</v>
      </c>
      <c r="T19" s="3" t="s">
        <v>25</v>
      </c>
      <c r="U19" s="3" t="s">
        <v>26</v>
      </c>
      <c r="V19" s="2"/>
      <c r="W19" s="3" t="s">
        <v>27</v>
      </c>
      <c r="X19" s="3" t="s">
        <v>28</v>
      </c>
      <c r="Y19" s="2"/>
    </row>
    <row r="20" spans="1:25" x14ac:dyDescent="0.2">
      <c r="A20" s="1">
        <v>18</v>
      </c>
      <c r="B20" s="3">
        <v>0.5</v>
      </c>
      <c r="C20" s="3">
        <v>12</v>
      </c>
      <c r="D20" s="3">
        <v>17.1774347079918</v>
      </c>
      <c r="E20" s="2"/>
      <c r="F20" s="3">
        <v>17.167291042001999</v>
      </c>
      <c r="G20" s="3">
        <v>17.1774347079918</v>
      </c>
      <c r="H20" s="3">
        <v>17.665596249993499</v>
      </c>
      <c r="I20" s="3">
        <v>17.665596249993499</v>
      </c>
      <c r="J20" s="3">
        <v>17.665596249993499</v>
      </c>
      <c r="K20" s="2"/>
      <c r="L20" s="3">
        <v>17.879992000002002</v>
      </c>
      <c r="M20" s="3" t="s">
        <v>24</v>
      </c>
      <c r="N20" s="3">
        <v>12</v>
      </c>
      <c r="O20" s="3">
        <v>1</v>
      </c>
      <c r="P20" s="3">
        <v>1</v>
      </c>
      <c r="Q20" s="3">
        <v>0.208119874994736</v>
      </c>
      <c r="R20" s="3">
        <v>834302</v>
      </c>
      <c r="S20" s="3">
        <v>1</v>
      </c>
      <c r="T20" s="3" t="s">
        <v>25</v>
      </c>
      <c r="U20" s="3" t="s">
        <v>26</v>
      </c>
      <c r="V20" s="2"/>
      <c r="W20" s="3" t="s">
        <v>27</v>
      </c>
      <c r="X20" s="3" t="s">
        <v>28</v>
      </c>
      <c r="Y20" s="2"/>
    </row>
    <row r="21" spans="1:25" x14ac:dyDescent="0.2">
      <c r="A21" s="1">
        <v>19</v>
      </c>
      <c r="B21" s="3">
        <v>0.5</v>
      </c>
      <c r="C21" s="3">
        <v>12</v>
      </c>
      <c r="D21" s="3">
        <v>17.887917500003802</v>
      </c>
      <c r="E21" s="2"/>
      <c r="F21" s="3">
        <v>17.8804019999952</v>
      </c>
      <c r="G21" s="3">
        <v>17.887917500003802</v>
      </c>
      <c r="H21" s="3">
        <v>18.3777838749957</v>
      </c>
      <c r="I21" s="3">
        <v>18.3777838749957</v>
      </c>
      <c r="J21" s="3">
        <v>18.381959833001002</v>
      </c>
      <c r="K21" s="2"/>
      <c r="L21" s="3">
        <v>18.646611874995902</v>
      </c>
      <c r="M21" s="3" t="s">
        <v>24</v>
      </c>
      <c r="N21" s="3">
        <v>12</v>
      </c>
      <c r="O21" s="3">
        <v>0</v>
      </c>
      <c r="P21" s="3">
        <v>0</v>
      </c>
      <c r="Q21" s="3">
        <v>0.25653149999561697</v>
      </c>
      <c r="R21" s="3">
        <v>834302</v>
      </c>
      <c r="S21" s="3">
        <v>1</v>
      </c>
      <c r="T21" s="3" t="s">
        <v>25</v>
      </c>
      <c r="U21" s="3" t="s">
        <v>26</v>
      </c>
      <c r="V21" s="2"/>
      <c r="W21" s="3" t="s">
        <v>27</v>
      </c>
      <c r="X21" s="3" t="s">
        <v>28</v>
      </c>
      <c r="Y21" s="2"/>
    </row>
    <row r="22" spans="1:25" x14ac:dyDescent="0.2">
      <c r="A22" s="1">
        <v>20</v>
      </c>
      <c r="B22" s="3">
        <v>0.5</v>
      </c>
      <c r="C22" s="3">
        <v>12.5</v>
      </c>
      <c r="D22" s="3">
        <v>18.654752417001902</v>
      </c>
      <c r="E22" s="2"/>
      <c r="F22" s="3">
        <v>18.647040333002199</v>
      </c>
      <c r="G22" s="3">
        <v>18.654752417001902</v>
      </c>
      <c r="H22" s="3">
        <v>19.144470166997099</v>
      </c>
      <c r="I22" s="3">
        <v>19.144470166997099</v>
      </c>
      <c r="J22" s="3">
        <v>19.148714832990699</v>
      </c>
      <c r="K22" s="2"/>
      <c r="L22" s="3">
        <v>19.412915875000198</v>
      </c>
      <c r="M22" s="3" t="s">
        <v>29</v>
      </c>
      <c r="N22" s="3">
        <v>-12.5</v>
      </c>
      <c r="O22" s="3">
        <v>0</v>
      </c>
      <c r="P22" s="3">
        <v>0</v>
      </c>
      <c r="Q22" s="3">
        <v>0.26325570901099099</v>
      </c>
      <c r="R22" s="3">
        <v>834302</v>
      </c>
      <c r="S22" s="3">
        <v>1</v>
      </c>
      <c r="T22" s="3" t="s">
        <v>25</v>
      </c>
      <c r="U22" s="3" t="s">
        <v>26</v>
      </c>
      <c r="V22" s="2"/>
      <c r="W22" s="3" t="s">
        <v>27</v>
      </c>
      <c r="X22" s="3" t="s">
        <v>28</v>
      </c>
      <c r="Y22" s="2"/>
    </row>
    <row r="23" spans="1:25" x14ac:dyDescent="0.2">
      <c r="A23" s="1">
        <v>21</v>
      </c>
      <c r="B23" s="3">
        <v>0.5</v>
      </c>
      <c r="C23" s="3">
        <v>13</v>
      </c>
      <c r="D23" s="3">
        <v>19.421009832993199</v>
      </c>
      <c r="E23" s="2"/>
      <c r="F23" s="3">
        <v>19.413330499999599</v>
      </c>
      <c r="G23" s="3">
        <v>19.421009832993199</v>
      </c>
      <c r="H23" s="3">
        <v>19.9112069999974</v>
      </c>
      <c r="I23" s="3">
        <v>19.9112069999974</v>
      </c>
      <c r="J23" s="3">
        <v>19.915816541994001</v>
      </c>
      <c r="K23" s="3">
        <v>20.198285708000199</v>
      </c>
      <c r="L23" s="3">
        <v>20.249909833000899</v>
      </c>
      <c r="M23" s="3" t="s">
        <v>29</v>
      </c>
      <c r="N23" s="3">
        <v>-13</v>
      </c>
      <c r="O23" s="3">
        <v>1</v>
      </c>
      <c r="P23" s="3">
        <v>1</v>
      </c>
      <c r="Q23" s="3">
        <v>0.33414987499418197</v>
      </c>
      <c r="R23" s="3">
        <v>834302</v>
      </c>
      <c r="S23" s="3">
        <v>1</v>
      </c>
      <c r="T23" s="3" t="s">
        <v>25</v>
      </c>
      <c r="U23" s="3" t="s">
        <v>26</v>
      </c>
      <c r="V23" s="2"/>
      <c r="W23" s="3" t="s">
        <v>27</v>
      </c>
      <c r="X23" s="3" t="s">
        <v>28</v>
      </c>
      <c r="Y23" s="2"/>
    </row>
    <row r="24" spans="1:25" x14ac:dyDescent="0.2">
      <c r="A24" s="1">
        <v>22</v>
      </c>
      <c r="B24" s="3">
        <v>0.5</v>
      </c>
      <c r="C24" s="3">
        <v>13</v>
      </c>
      <c r="D24" s="3">
        <v>20.2608367499925</v>
      </c>
      <c r="E24" s="2"/>
      <c r="F24" s="3">
        <v>20.250265583003099</v>
      </c>
      <c r="G24" s="3">
        <v>20.2608367499925</v>
      </c>
      <c r="H24" s="3">
        <v>20.749868166996698</v>
      </c>
      <c r="I24" s="3">
        <v>20.749868166996698</v>
      </c>
      <c r="J24" s="3">
        <v>20.749868166996698</v>
      </c>
      <c r="K24" s="3">
        <v>21.0490757919906</v>
      </c>
      <c r="L24" s="3">
        <v>21.0794453330018</v>
      </c>
      <c r="M24" s="3" t="s">
        <v>29</v>
      </c>
      <c r="N24" s="3">
        <v>-13</v>
      </c>
      <c r="O24" s="3">
        <v>1</v>
      </c>
      <c r="P24" s="3">
        <v>1</v>
      </c>
      <c r="Q24" s="3">
        <v>0.31847558300069101</v>
      </c>
      <c r="R24" s="3">
        <v>834302</v>
      </c>
      <c r="S24" s="3">
        <v>1</v>
      </c>
      <c r="T24" s="3" t="s">
        <v>25</v>
      </c>
      <c r="U24" s="3" t="s">
        <v>26</v>
      </c>
      <c r="V24" s="2"/>
      <c r="W24" s="3" t="s">
        <v>27</v>
      </c>
      <c r="X24" s="3" t="s">
        <v>28</v>
      </c>
      <c r="Y24" s="2"/>
    </row>
    <row r="25" spans="1:25" x14ac:dyDescent="0.2">
      <c r="A25" s="1">
        <v>23</v>
      </c>
      <c r="B25" s="3">
        <v>0.5</v>
      </c>
      <c r="C25" s="3">
        <v>13</v>
      </c>
      <c r="D25" s="3">
        <v>21.087580958002899</v>
      </c>
      <c r="E25" s="2"/>
      <c r="F25" s="3">
        <v>21.079728166994801</v>
      </c>
      <c r="G25" s="3">
        <v>21.087580958002899</v>
      </c>
      <c r="H25" s="3">
        <v>21.577863124999599</v>
      </c>
      <c r="I25" s="3">
        <v>21.577863124999599</v>
      </c>
      <c r="J25" s="3">
        <v>21.582443124992999</v>
      </c>
      <c r="K25" s="2"/>
      <c r="L25" s="3">
        <v>21.846735125000102</v>
      </c>
      <c r="M25" s="3" t="s">
        <v>24</v>
      </c>
      <c r="N25" s="3">
        <v>13</v>
      </c>
      <c r="O25" s="3">
        <v>0</v>
      </c>
      <c r="P25" s="3">
        <v>0</v>
      </c>
      <c r="Q25" s="3">
        <v>0.25652150000678398</v>
      </c>
      <c r="R25" s="3">
        <v>834302</v>
      </c>
      <c r="S25" s="3">
        <v>1</v>
      </c>
      <c r="T25" s="3" t="s">
        <v>25</v>
      </c>
      <c r="U25" s="3" t="s">
        <v>26</v>
      </c>
      <c r="V25" s="2"/>
      <c r="W25" s="3" t="s">
        <v>27</v>
      </c>
      <c r="X25" s="3" t="s">
        <v>28</v>
      </c>
      <c r="Y25" s="2"/>
    </row>
    <row r="26" spans="1:25" x14ac:dyDescent="0.2">
      <c r="A26" s="1">
        <v>24</v>
      </c>
      <c r="B26" s="3">
        <v>0.5</v>
      </c>
      <c r="C26" s="3">
        <v>13.5</v>
      </c>
      <c r="D26" s="3">
        <v>21.8548070830002</v>
      </c>
      <c r="E26" s="2"/>
      <c r="F26" s="3">
        <v>21.8471925420017</v>
      </c>
      <c r="G26" s="3">
        <v>21.8548070830002</v>
      </c>
      <c r="H26" s="3">
        <v>22.344536042001</v>
      </c>
      <c r="I26" s="3">
        <v>22.344536042001</v>
      </c>
      <c r="J26" s="3">
        <v>22.3484645830031</v>
      </c>
      <c r="K26" s="2"/>
      <c r="L26" s="3">
        <v>22.5800629169971</v>
      </c>
      <c r="M26" s="3" t="s">
        <v>24</v>
      </c>
      <c r="N26" s="3">
        <v>13.5</v>
      </c>
      <c r="O26" s="3">
        <v>0</v>
      </c>
      <c r="P26" s="3">
        <v>0</v>
      </c>
      <c r="Q26" s="3">
        <v>0.229193249993841</v>
      </c>
      <c r="R26" s="3">
        <v>834302</v>
      </c>
      <c r="S26" s="3">
        <v>1</v>
      </c>
      <c r="T26" s="3" t="s">
        <v>25</v>
      </c>
      <c r="U26" s="3" t="s">
        <v>26</v>
      </c>
      <c r="V26" s="2"/>
      <c r="W26" s="3" t="s">
        <v>27</v>
      </c>
      <c r="X26" s="3" t="s">
        <v>28</v>
      </c>
      <c r="Y26" s="2"/>
    </row>
    <row r="27" spans="1:25" x14ac:dyDescent="0.2">
      <c r="A27" s="1">
        <v>25</v>
      </c>
      <c r="B27" s="3">
        <v>0.5</v>
      </c>
      <c r="C27" s="3">
        <v>14</v>
      </c>
      <c r="D27" s="3">
        <v>22.588167666996</v>
      </c>
      <c r="E27" s="2"/>
      <c r="F27" s="3">
        <v>22.580508457991499</v>
      </c>
      <c r="G27" s="3">
        <v>22.588167666996</v>
      </c>
      <c r="H27" s="3">
        <v>23.0779096249898</v>
      </c>
      <c r="I27" s="3">
        <v>23.0779096249898</v>
      </c>
      <c r="J27" s="3">
        <v>23.082170791996798</v>
      </c>
      <c r="K27" s="3">
        <v>23.365239374994399</v>
      </c>
      <c r="L27" s="3">
        <v>23.466510541999</v>
      </c>
      <c r="M27" s="3" t="s">
        <v>29</v>
      </c>
      <c r="N27" s="3">
        <v>-14</v>
      </c>
      <c r="O27" s="3">
        <v>1</v>
      </c>
      <c r="P27" s="3">
        <v>1</v>
      </c>
      <c r="Q27" s="3">
        <v>0.38649362500291301</v>
      </c>
      <c r="R27" s="3">
        <v>834302</v>
      </c>
      <c r="S27" s="3">
        <v>1</v>
      </c>
      <c r="T27" s="3" t="s">
        <v>25</v>
      </c>
      <c r="U27" s="3" t="s">
        <v>26</v>
      </c>
      <c r="V27" s="2"/>
      <c r="W27" s="3" t="s">
        <v>27</v>
      </c>
      <c r="X27" s="3" t="s">
        <v>28</v>
      </c>
      <c r="Y27" s="2"/>
    </row>
    <row r="28" spans="1:25" x14ac:dyDescent="0.2">
      <c r="A28" s="1">
        <v>26</v>
      </c>
      <c r="B28" s="3">
        <v>0.5</v>
      </c>
      <c r="C28" s="3">
        <v>14</v>
      </c>
      <c r="D28" s="3">
        <v>23.477829875002499</v>
      </c>
      <c r="E28" s="2"/>
      <c r="F28" s="3">
        <v>23.466849999997098</v>
      </c>
      <c r="G28" s="3">
        <v>23.477829875002499</v>
      </c>
      <c r="H28" s="3">
        <v>23.966157207993099</v>
      </c>
      <c r="I28" s="3">
        <v>23.966157207993099</v>
      </c>
      <c r="J28" s="3">
        <v>23.966157207993099</v>
      </c>
      <c r="K28" s="3">
        <v>24.261285542001101</v>
      </c>
      <c r="L28" s="3">
        <v>24.3298484580009</v>
      </c>
      <c r="M28" s="3" t="s">
        <v>24</v>
      </c>
      <c r="N28" s="3">
        <v>14</v>
      </c>
      <c r="O28" s="3">
        <v>1</v>
      </c>
      <c r="P28" s="3">
        <v>1</v>
      </c>
      <c r="Q28" s="3">
        <v>0.36145433300407598</v>
      </c>
      <c r="R28" s="3">
        <v>834302</v>
      </c>
      <c r="S28" s="3">
        <v>1</v>
      </c>
      <c r="T28" s="3" t="s">
        <v>25</v>
      </c>
      <c r="U28" s="3" t="s">
        <v>26</v>
      </c>
      <c r="V28" s="2"/>
      <c r="W28" s="3" t="s">
        <v>27</v>
      </c>
      <c r="X28" s="3" t="s">
        <v>28</v>
      </c>
      <c r="Y28" s="2"/>
    </row>
    <row r="29" spans="1:25" x14ac:dyDescent="0.2">
      <c r="A29" s="1">
        <v>27</v>
      </c>
      <c r="B29" s="3">
        <v>0.5</v>
      </c>
      <c r="C29" s="3">
        <v>14</v>
      </c>
      <c r="D29" s="3">
        <v>24.337529124997701</v>
      </c>
      <c r="E29" s="2"/>
      <c r="F29" s="3">
        <v>24.330179707991199</v>
      </c>
      <c r="G29" s="3">
        <v>24.337529124997701</v>
      </c>
      <c r="H29" s="3">
        <v>24.827898791991199</v>
      </c>
      <c r="I29" s="3">
        <v>24.827898791991199</v>
      </c>
      <c r="J29" s="3">
        <v>24.8320494579966</v>
      </c>
      <c r="K29" s="3">
        <v>25.122229166998299</v>
      </c>
      <c r="L29" s="3">
        <v>25.1140452499967</v>
      </c>
      <c r="M29" s="3" t="s">
        <v>29</v>
      </c>
      <c r="N29" s="3">
        <v>-14</v>
      </c>
      <c r="O29" s="3">
        <v>1</v>
      </c>
      <c r="P29" s="3">
        <v>1</v>
      </c>
      <c r="Q29" s="3">
        <v>0.27981329101021402</v>
      </c>
      <c r="R29" s="3">
        <v>834302</v>
      </c>
      <c r="S29" s="3">
        <v>1</v>
      </c>
      <c r="T29" s="3" t="s">
        <v>25</v>
      </c>
      <c r="U29" s="3" t="s">
        <v>26</v>
      </c>
      <c r="V29" s="2"/>
      <c r="W29" s="3" t="s">
        <v>27</v>
      </c>
      <c r="X29" s="3" t="s">
        <v>28</v>
      </c>
      <c r="Y29" s="2"/>
    </row>
    <row r="30" spans="1:25" x14ac:dyDescent="0.2">
      <c r="A30" s="1">
        <v>28</v>
      </c>
      <c r="B30" s="3">
        <v>0.5</v>
      </c>
      <c r="C30" s="3">
        <v>13.5</v>
      </c>
      <c r="D30" s="3">
        <v>25.122229166998299</v>
      </c>
      <c r="E30" s="2"/>
      <c r="F30" s="3">
        <v>25.114568958000699</v>
      </c>
      <c r="G30" s="3">
        <v>25.122229166998299</v>
      </c>
      <c r="H30" s="3">
        <v>25.611244125000699</v>
      </c>
      <c r="I30" s="3">
        <v>25.611244125000699</v>
      </c>
      <c r="J30" s="3">
        <v>25.615441041998601</v>
      </c>
      <c r="K30" s="3">
        <v>25.8985315419995</v>
      </c>
      <c r="L30" s="3">
        <v>25.946794374991399</v>
      </c>
      <c r="M30" s="3" t="s">
        <v>24</v>
      </c>
      <c r="N30" s="3">
        <v>13.5</v>
      </c>
      <c r="O30" s="3">
        <v>1</v>
      </c>
      <c r="P30" s="3">
        <v>1</v>
      </c>
      <c r="Q30" s="3">
        <v>0.32526354200672403</v>
      </c>
      <c r="R30" s="3">
        <v>834302</v>
      </c>
      <c r="S30" s="3">
        <v>1</v>
      </c>
      <c r="T30" s="3" t="s">
        <v>25</v>
      </c>
      <c r="U30" s="3" t="s">
        <v>26</v>
      </c>
      <c r="V30" s="2"/>
      <c r="W30" s="3" t="s">
        <v>27</v>
      </c>
      <c r="X30" s="3" t="s">
        <v>28</v>
      </c>
      <c r="Y30" s="2"/>
    </row>
    <row r="31" spans="1:25" x14ac:dyDescent="0.2">
      <c r="A31" s="1">
        <v>29</v>
      </c>
      <c r="B31" s="3">
        <v>0.5</v>
      </c>
      <c r="C31" s="3">
        <v>13.5</v>
      </c>
      <c r="D31" s="3">
        <v>25.954660499992301</v>
      </c>
      <c r="E31" s="2"/>
      <c r="F31" s="3">
        <v>25.947203874995498</v>
      </c>
      <c r="G31" s="3">
        <v>25.954660499992301</v>
      </c>
      <c r="H31" s="3">
        <v>26.444803167003599</v>
      </c>
      <c r="I31" s="3">
        <v>26.444803167003599</v>
      </c>
      <c r="J31" s="3">
        <v>26.449665249994698</v>
      </c>
      <c r="K31" s="2"/>
      <c r="L31" s="3">
        <v>26.713359499990499</v>
      </c>
      <c r="M31" s="3" t="s">
        <v>29</v>
      </c>
      <c r="N31" s="3">
        <v>-13.5</v>
      </c>
      <c r="O31" s="3">
        <v>1</v>
      </c>
      <c r="P31" s="3">
        <v>1</v>
      </c>
      <c r="Q31" s="3">
        <v>0.25855291700281702</v>
      </c>
      <c r="R31" s="3">
        <v>834302</v>
      </c>
      <c r="S31" s="3">
        <v>1</v>
      </c>
      <c r="T31" s="3" t="s">
        <v>25</v>
      </c>
      <c r="U31" s="3" t="s">
        <v>26</v>
      </c>
      <c r="V31" s="2"/>
      <c r="W31" s="3" t="s">
        <v>27</v>
      </c>
      <c r="X31" s="3" t="s">
        <v>28</v>
      </c>
      <c r="Y31" s="2"/>
    </row>
    <row r="32" spans="1:25" x14ac:dyDescent="0.2">
      <c r="A32" s="1">
        <v>30</v>
      </c>
      <c r="B32" s="3">
        <v>0.5</v>
      </c>
      <c r="C32" s="3">
        <v>13.5</v>
      </c>
      <c r="D32" s="3">
        <v>26.720934917000701</v>
      </c>
      <c r="E32" s="2"/>
      <c r="F32" s="3">
        <v>26.713781166996299</v>
      </c>
      <c r="G32" s="3">
        <v>26.720934917000701</v>
      </c>
      <c r="H32" s="3">
        <v>27.2113003330014</v>
      </c>
      <c r="I32" s="3">
        <v>27.2113003330014</v>
      </c>
      <c r="J32" s="3">
        <v>27.2154009169899</v>
      </c>
      <c r="K32" s="2"/>
      <c r="L32" s="3">
        <v>27.433910166990199</v>
      </c>
      <c r="M32" s="3" t="s">
        <v>29</v>
      </c>
      <c r="N32" s="3">
        <v>-13.5</v>
      </c>
      <c r="O32" s="3">
        <v>0</v>
      </c>
      <c r="P32" s="3">
        <v>0</v>
      </c>
      <c r="Q32" s="3">
        <v>0.21721495900419499</v>
      </c>
      <c r="R32" s="3">
        <v>834302</v>
      </c>
      <c r="S32" s="3">
        <v>1</v>
      </c>
      <c r="T32" s="3" t="s">
        <v>25</v>
      </c>
      <c r="U32" s="3" t="s">
        <v>26</v>
      </c>
      <c r="V32" s="2"/>
      <c r="W32" s="3" t="s">
        <v>27</v>
      </c>
      <c r="X32" s="3" t="s">
        <v>28</v>
      </c>
      <c r="Y32" s="2"/>
    </row>
    <row r="33" spans="1:25" x14ac:dyDescent="0.2">
      <c r="A33" s="1">
        <v>31</v>
      </c>
      <c r="B33" s="3">
        <v>0.5</v>
      </c>
      <c r="C33" s="3">
        <v>14</v>
      </c>
      <c r="D33" s="3">
        <v>27.444218000004199</v>
      </c>
      <c r="E33" s="2"/>
      <c r="F33" s="3">
        <v>27.4342584999977</v>
      </c>
      <c r="G33" s="3">
        <v>27.444218000004199</v>
      </c>
      <c r="H33" s="3">
        <v>27.933302042001699</v>
      </c>
      <c r="I33" s="3">
        <v>27.933302042001699</v>
      </c>
      <c r="J33" s="3">
        <v>27.933302042001699</v>
      </c>
      <c r="K33" s="2"/>
      <c r="L33" s="3">
        <v>28.167243417003199</v>
      </c>
      <c r="M33" s="3" t="s">
        <v>29</v>
      </c>
      <c r="N33" s="3">
        <v>-14</v>
      </c>
      <c r="O33" s="3">
        <v>1</v>
      </c>
      <c r="P33" s="3">
        <v>1</v>
      </c>
      <c r="Q33" s="3">
        <v>0.23207762501260701</v>
      </c>
      <c r="R33" s="3">
        <v>834302</v>
      </c>
      <c r="S33" s="3">
        <v>1</v>
      </c>
      <c r="T33" s="3" t="s">
        <v>25</v>
      </c>
      <c r="U33" s="3" t="s">
        <v>26</v>
      </c>
      <c r="V33" s="2"/>
      <c r="W33" s="3" t="s">
        <v>27</v>
      </c>
      <c r="X33" s="3" t="s">
        <v>28</v>
      </c>
      <c r="Y33" s="2"/>
    </row>
    <row r="34" spans="1:25" x14ac:dyDescent="0.2">
      <c r="A34" s="1">
        <v>32</v>
      </c>
      <c r="B34" s="3">
        <v>0.5</v>
      </c>
      <c r="C34" s="3">
        <v>14</v>
      </c>
      <c r="D34" s="3">
        <v>28.177442207990701</v>
      </c>
      <c r="E34" s="2"/>
      <c r="F34" s="3">
        <v>28.167587457996</v>
      </c>
      <c r="G34" s="3">
        <v>28.177442207990701</v>
      </c>
      <c r="H34" s="3">
        <v>28.666247792003599</v>
      </c>
      <c r="I34" s="3">
        <v>28.666247792003599</v>
      </c>
      <c r="J34" s="3">
        <v>28.666247792003599</v>
      </c>
      <c r="K34" s="2"/>
      <c r="L34" s="3">
        <v>28.946514707990001</v>
      </c>
      <c r="M34" s="3" t="s">
        <v>24</v>
      </c>
      <c r="N34" s="3">
        <v>14</v>
      </c>
      <c r="O34" s="3">
        <v>1</v>
      </c>
      <c r="P34" s="3">
        <v>1</v>
      </c>
      <c r="Q34" s="3">
        <v>0.26710404201003302</v>
      </c>
      <c r="R34" s="3">
        <v>834302</v>
      </c>
      <c r="S34" s="3">
        <v>1</v>
      </c>
      <c r="T34" s="3" t="s">
        <v>25</v>
      </c>
      <c r="U34" s="3" t="s">
        <v>26</v>
      </c>
      <c r="V34" s="2"/>
      <c r="W34" s="3" t="s">
        <v>27</v>
      </c>
      <c r="X34" s="3" t="s">
        <v>28</v>
      </c>
      <c r="Y34" s="2"/>
    </row>
    <row r="35" spans="1:25" x14ac:dyDescent="0.2">
      <c r="A35" s="1">
        <v>33</v>
      </c>
      <c r="B35" s="3">
        <v>0.5</v>
      </c>
      <c r="C35" s="3">
        <v>14</v>
      </c>
      <c r="D35" s="3">
        <v>28.954055333000699</v>
      </c>
      <c r="E35" s="2"/>
      <c r="F35" s="3">
        <v>28.946881124997201</v>
      </c>
      <c r="G35" s="3">
        <v>28.954055333000699</v>
      </c>
      <c r="H35" s="3">
        <v>29.444878916998299</v>
      </c>
      <c r="I35" s="3">
        <v>29.444878916998299</v>
      </c>
      <c r="J35" s="3">
        <v>29.449314500001499</v>
      </c>
      <c r="K35" s="2"/>
      <c r="L35" s="3">
        <v>29.584089666997901</v>
      </c>
      <c r="M35" s="3" t="s">
        <v>29</v>
      </c>
      <c r="N35" s="3">
        <v>-14</v>
      </c>
      <c r="O35" s="3">
        <v>1</v>
      </c>
      <c r="P35" s="3">
        <v>1</v>
      </c>
      <c r="Q35" s="3">
        <v>0.13558662499417601</v>
      </c>
      <c r="R35" s="3">
        <v>834302</v>
      </c>
      <c r="S35" s="3">
        <v>1</v>
      </c>
      <c r="T35" s="3" t="s">
        <v>25</v>
      </c>
      <c r="U35" s="3" t="s">
        <v>26</v>
      </c>
      <c r="V35" s="2"/>
      <c r="W35" s="3" t="s">
        <v>27</v>
      </c>
      <c r="X35" s="3" t="s">
        <v>28</v>
      </c>
      <c r="Y35" s="2"/>
    </row>
    <row r="36" spans="1:25" x14ac:dyDescent="0.2">
      <c r="A36" s="1">
        <v>34</v>
      </c>
      <c r="B36" s="3">
        <v>0.5</v>
      </c>
      <c r="C36" s="3">
        <v>13.5</v>
      </c>
      <c r="D36" s="3">
        <v>29.594370499995399</v>
      </c>
      <c r="E36" s="2"/>
      <c r="F36" s="3">
        <v>29.584408458002098</v>
      </c>
      <c r="G36" s="3">
        <v>29.594370499995399</v>
      </c>
      <c r="H36" s="3">
        <v>30.083245457994099</v>
      </c>
      <c r="I36" s="3">
        <v>30.083245457994099</v>
      </c>
      <c r="J36" s="3">
        <v>30.083245457994099</v>
      </c>
      <c r="K36" s="2"/>
      <c r="L36" s="3">
        <v>30.100151249993399</v>
      </c>
      <c r="M36" s="3" t="s">
        <v>29</v>
      </c>
      <c r="N36" s="3">
        <v>-13.5</v>
      </c>
      <c r="O36" s="3">
        <v>0</v>
      </c>
      <c r="P36" s="3">
        <v>0</v>
      </c>
      <c r="Q36" s="3">
        <v>1.5225625000312E-2</v>
      </c>
      <c r="R36" s="3">
        <v>834302</v>
      </c>
      <c r="S36" s="3">
        <v>1</v>
      </c>
      <c r="T36" s="3" t="s">
        <v>25</v>
      </c>
      <c r="U36" s="3" t="s">
        <v>26</v>
      </c>
      <c r="V36" s="2"/>
      <c r="W36" s="3" t="s">
        <v>27</v>
      </c>
      <c r="X36" s="3" t="s">
        <v>28</v>
      </c>
      <c r="Y36" s="2"/>
    </row>
    <row r="37" spans="1:25" x14ac:dyDescent="0.2">
      <c r="A37" s="1">
        <v>35</v>
      </c>
      <c r="B37" s="3">
        <v>0.5</v>
      </c>
      <c r="C37" s="3">
        <v>14</v>
      </c>
      <c r="D37" s="3">
        <v>30.1113065829995</v>
      </c>
      <c r="E37" s="2"/>
      <c r="F37" s="3">
        <v>30.100522958004198</v>
      </c>
      <c r="G37" s="3">
        <v>30.1113065829995</v>
      </c>
      <c r="H37" s="3">
        <v>30.5993578329944</v>
      </c>
      <c r="I37" s="3">
        <v>30.5993578329944</v>
      </c>
      <c r="J37" s="3">
        <v>30.5993578329944</v>
      </c>
      <c r="K37" s="2"/>
      <c r="L37" s="3">
        <v>30.779645000002301</v>
      </c>
      <c r="M37" s="3" t="s">
        <v>29</v>
      </c>
      <c r="N37" s="3">
        <v>-14</v>
      </c>
      <c r="O37" s="3">
        <v>1</v>
      </c>
      <c r="P37" s="3">
        <v>1</v>
      </c>
      <c r="Q37" s="3">
        <v>0.17557054100325301</v>
      </c>
      <c r="R37" s="3">
        <v>834302</v>
      </c>
      <c r="S37" s="3">
        <v>1</v>
      </c>
      <c r="T37" s="3" t="s">
        <v>25</v>
      </c>
      <c r="U37" s="3" t="s">
        <v>26</v>
      </c>
      <c r="V37" s="2"/>
      <c r="W37" s="3" t="s">
        <v>27</v>
      </c>
      <c r="X37" s="3" t="s">
        <v>28</v>
      </c>
      <c r="Y37" s="2"/>
    </row>
    <row r="38" spans="1:25" x14ac:dyDescent="0.2">
      <c r="A38" s="1">
        <v>36</v>
      </c>
      <c r="B38" s="3">
        <v>0.5</v>
      </c>
      <c r="C38" s="3">
        <v>14</v>
      </c>
      <c r="D38" s="3">
        <v>30.7874193750031</v>
      </c>
      <c r="E38" s="2"/>
      <c r="F38" s="3">
        <v>30.7799934170034</v>
      </c>
      <c r="G38" s="3">
        <v>30.7874193750031</v>
      </c>
      <c r="H38" s="3">
        <v>31.278068707993999</v>
      </c>
      <c r="I38" s="3">
        <v>31.278068707993999</v>
      </c>
      <c r="J38" s="3">
        <v>31.282668166997599</v>
      </c>
      <c r="K38" s="3">
        <v>31.565571250001099</v>
      </c>
      <c r="L38" s="3">
        <v>31.617738207991401</v>
      </c>
      <c r="M38" s="3" t="s">
        <v>29</v>
      </c>
      <c r="N38" s="3">
        <v>-14</v>
      </c>
      <c r="O38" s="3">
        <v>0</v>
      </c>
      <c r="P38" s="3">
        <v>0</v>
      </c>
      <c r="Q38" s="3">
        <v>0.33361591599532398</v>
      </c>
      <c r="R38" s="3">
        <v>834302</v>
      </c>
      <c r="S38" s="3">
        <v>1</v>
      </c>
      <c r="T38" s="3" t="s">
        <v>25</v>
      </c>
      <c r="U38" s="3" t="s">
        <v>26</v>
      </c>
      <c r="V38" s="2"/>
      <c r="W38" s="3" t="s">
        <v>27</v>
      </c>
      <c r="X38" s="3" t="s">
        <v>28</v>
      </c>
      <c r="Y38" s="2"/>
    </row>
    <row r="39" spans="1:25" x14ac:dyDescent="0.2">
      <c r="A39" s="1">
        <v>37</v>
      </c>
      <c r="B39" s="3">
        <v>0.5</v>
      </c>
      <c r="C39" s="3">
        <v>14.5</v>
      </c>
      <c r="D39" s="3">
        <v>31.627540082990901</v>
      </c>
      <c r="E39" s="2"/>
      <c r="F39" s="3">
        <v>31.618176874995701</v>
      </c>
      <c r="G39" s="3">
        <v>31.627540082990901</v>
      </c>
      <c r="H39" s="3">
        <v>32.115716582993599</v>
      </c>
      <c r="I39" s="3">
        <v>32.115716582993599</v>
      </c>
      <c r="J39" s="3">
        <v>32.115716582993599</v>
      </c>
      <c r="K39" s="3">
        <v>32.411435667003403</v>
      </c>
      <c r="L39" s="3">
        <v>33.563979332990101</v>
      </c>
      <c r="M39" s="3" t="s">
        <v>24</v>
      </c>
      <c r="N39" s="3">
        <v>14.5</v>
      </c>
      <c r="O39" s="3">
        <v>0</v>
      </c>
      <c r="P39" s="3">
        <v>0</v>
      </c>
      <c r="Q39" s="3">
        <v>1.44416499999352</v>
      </c>
      <c r="R39" s="3">
        <v>834302</v>
      </c>
      <c r="S39" s="3">
        <v>1</v>
      </c>
      <c r="T39" s="3" t="s">
        <v>25</v>
      </c>
      <c r="U39" s="3" t="s">
        <v>26</v>
      </c>
      <c r="V39" s="2"/>
      <c r="W39" s="3" t="s">
        <v>27</v>
      </c>
      <c r="X39" s="3" t="s">
        <v>28</v>
      </c>
      <c r="Y39" s="2"/>
    </row>
    <row r="40" spans="1:25" x14ac:dyDescent="0.2">
      <c r="A40" s="1">
        <v>38</v>
      </c>
      <c r="B40" s="3">
        <v>0.5</v>
      </c>
      <c r="C40" s="3">
        <v>15</v>
      </c>
      <c r="D40" s="3">
        <v>33.573362208000603</v>
      </c>
      <c r="E40" s="2"/>
      <c r="F40" s="3">
        <v>33.564415832995998</v>
      </c>
      <c r="G40" s="3">
        <v>33.573362208000603</v>
      </c>
      <c r="H40" s="3">
        <v>34.061438332995799</v>
      </c>
      <c r="I40" s="3">
        <v>34.061438332995799</v>
      </c>
      <c r="J40" s="3">
        <v>34.0656697079976</v>
      </c>
      <c r="K40" s="2"/>
      <c r="L40" s="3">
        <v>34.246990999992697</v>
      </c>
      <c r="M40" s="3" t="s">
        <v>29</v>
      </c>
      <c r="N40" s="3">
        <v>-15</v>
      </c>
      <c r="O40" s="3">
        <v>1</v>
      </c>
      <c r="P40" s="3">
        <v>1</v>
      </c>
      <c r="Q40" s="3">
        <v>0.17731554199417601</v>
      </c>
      <c r="R40" s="3">
        <v>834302</v>
      </c>
      <c r="S40" s="3">
        <v>1</v>
      </c>
      <c r="T40" s="3" t="s">
        <v>25</v>
      </c>
      <c r="U40" s="3" t="s">
        <v>26</v>
      </c>
      <c r="V40" s="2"/>
      <c r="W40" s="3" t="s">
        <v>27</v>
      </c>
      <c r="X40" s="3" t="s">
        <v>28</v>
      </c>
      <c r="Y40" s="2"/>
    </row>
    <row r="41" spans="1:25" x14ac:dyDescent="0.2">
      <c r="A41" s="1">
        <v>39</v>
      </c>
      <c r="B41" s="3">
        <v>0.5</v>
      </c>
      <c r="C41" s="3">
        <v>15</v>
      </c>
      <c r="D41" s="3">
        <v>34.2555216670007</v>
      </c>
      <c r="E41" s="2"/>
      <c r="F41" s="3">
        <v>34.247412124997901</v>
      </c>
      <c r="G41" s="3">
        <v>34.2555216670007</v>
      </c>
      <c r="H41" s="3">
        <v>34.744779332992003</v>
      </c>
      <c r="I41" s="3">
        <v>34.744779332992003</v>
      </c>
      <c r="J41" s="3">
        <v>34.749003042001299</v>
      </c>
      <c r="K41" s="2"/>
      <c r="L41" s="3">
        <v>34.934345292000202</v>
      </c>
      <c r="M41" s="3" t="s">
        <v>29</v>
      </c>
      <c r="N41" s="3">
        <v>-15</v>
      </c>
      <c r="O41" s="3">
        <v>1</v>
      </c>
      <c r="P41" s="3">
        <v>1</v>
      </c>
      <c r="Q41" s="3">
        <v>0.183829958012211</v>
      </c>
      <c r="R41" s="3">
        <v>834302</v>
      </c>
      <c r="S41" s="3">
        <v>1</v>
      </c>
      <c r="T41" s="3" t="s">
        <v>25</v>
      </c>
      <c r="U41" s="3" t="s">
        <v>26</v>
      </c>
      <c r="V41" s="2"/>
      <c r="W41" s="3" t="s">
        <v>27</v>
      </c>
      <c r="X41" s="3" t="s">
        <v>28</v>
      </c>
      <c r="Y41" s="2"/>
    </row>
    <row r="42" spans="1:25" x14ac:dyDescent="0.2">
      <c r="A42" s="1">
        <v>40</v>
      </c>
      <c r="B42" s="3">
        <v>0.5</v>
      </c>
      <c r="C42" s="3">
        <v>15</v>
      </c>
      <c r="D42" s="3">
        <v>34.944143999993699</v>
      </c>
      <c r="E42" s="2"/>
      <c r="F42" s="3">
        <v>34.934718791992097</v>
      </c>
      <c r="G42" s="3">
        <v>34.944143999993699</v>
      </c>
      <c r="H42" s="3">
        <v>35.4331250830001</v>
      </c>
      <c r="I42" s="3">
        <v>35.4331250830001</v>
      </c>
      <c r="J42" s="3">
        <v>35.4331250830001</v>
      </c>
      <c r="K42" s="2"/>
      <c r="L42" s="3">
        <v>35.684052374999702</v>
      </c>
      <c r="M42" s="3" t="s">
        <v>24</v>
      </c>
      <c r="N42" s="3">
        <v>15</v>
      </c>
      <c r="O42" s="3">
        <v>0</v>
      </c>
      <c r="P42" s="3">
        <v>0</v>
      </c>
      <c r="Q42" s="3">
        <v>0.24937074999615999</v>
      </c>
      <c r="R42" s="3">
        <v>834302</v>
      </c>
      <c r="S42" s="3">
        <v>1</v>
      </c>
      <c r="T42" s="3" t="s">
        <v>25</v>
      </c>
      <c r="U42" s="3" t="s">
        <v>26</v>
      </c>
      <c r="V42" s="2"/>
      <c r="W42" s="3" t="s">
        <v>27</v>
      </c>
      <c r="X42" s="3" t="s">
        <v>28</v>
      </c>
      <c r="Y42" s="2"/>
    </row>
    <row r="43" spans="1:25" x14ac:dyDescent="0.2">
      <c r="A43" s="1">
        <v>41</v>
      </c>
      <c r="B43" s="3">
        <v>0.5</v>
      </c>
      <c r="C43" s="3">
        <v>15.5</v>
      </c>
      <c r="D43" s="3">
        <v>35.6943179169903</v>
      </c>
      <c r="E43" s="2"/>
      <c r="F43" s="3">
        <v>35.684393082992798</v>
      </c>
      <c r="G43" s="3">
        <v>35.6943179169903</v>
      </c>
      <c r="H43" s="3">
        <v>36.182891332995503</v>
      </c>
      <c r="I43" s="3">
        <v>36.182891332995503</v>
      </c>
      <c r="J43" s="3">
        <v>36.182891332995503</v>
      </c>
      <c r="K43" s="3">
        <v>36.478136207995703</v>
      </c>
      <c r="L43" s="3">
        <v>36.496656499992199</v>
      </c>
      <c r="M43" s="3" t="s">
        <v>29</v>
      </c>
      <c r="N43" s="3">
        <v>-15.5</v>
      </c>
      <c r="O43" s="3">
        <v>1</v>
      </c>
      <c r="P43" s="3">
        <v>1</v>
      </c>
      <c r="Q43" s="3">
        <v>0.30699337500846002</v>
      </c>
      <c r="R43" s="3">
        <v>834302</v>
      </c>
      <c r="S43" s="3">
        <v>1</v>
      </c>
      <c r="T43" s="3" t="s">
        <v>25</v>
      </c>
      <c r="U43" s="3" t="s">
        <v>26</v>
      </c>
      <c r="V43" s="2"/>
      <c r="W43" s="3" t="s">
        <v>27</v>
      </c>
      <c r="X43" s="3" t="s">
        <v>28</v>
      </c>
      <c r="Y43" s="2"/>
    </row>
    <row r="44" spans="1:25" x14ac:dyDescent="0.2">
      <c r="A44" s="1">
        <v>42</v>
      </c>
      <c r="B44" s="3">
        <v>0.5</v>
      </c>
      <c r="C44" s="3">
        <v>15.5</v>
      </c>
      <c r="D44" s="3">
        <v>36.505190083000301</v>
      </c>
      <c r="E44" s="2"/>
      <c r="F44" s="3">
        <v>36.497033666994</v>
      </c>
      <c r="G44" s="3">
        <v>36.505190083000301</v>
      </c>
      <c r="H44" s="3">
        <v>36.995086041992202</v>
      </c>
      <c r="I44" s="3">
        <v>36.995086041992202</v>
      </c>
      <c r="J44" s="3">
        <v>37.000080541998599</v>
      </c>
      <c r="K44" s="3">
        <v>37.282115666996098</v>
      </c>
      <c r="L44" s="3">
        <v>37.297065082995701</v>
      </c>
      <c r="M44" s="3" t="s">
        <v>29</v>
      </c>
      <c r="N44" s="3">
        <v>-15.5</v>
      </c>
      <c r="O44" s="3">
        <v>1</v>
      </c>
      <c r="P44" s="3">
        <v>1</v>
      </c>
      <c r="Q44" s="3">
        <v>0.29568112500419402</v>
      </c>
      <c r="R44" s="3">
        <v>834302</v>
      </c>
      <c r="S44" s="3">
        <v>1</v>
      </c>
      <c r="T44" s="3" t="s">
        <v>25</v>
      </c>
      <c r="U44" s="3" t="s">
        <v>26</v>
      </c>
      <c r="V44" s="2"/>
      <c r="W44" s="3" t="s">
        <v>27</v>
      </c>
      <c r="X44" s="3" t="s">
        <v>28</v>
      </c>
      <c r="Y44" s="2"/>
    </row>
    <row r="45" spans="1:25" x14ac:dyDescent="0.2">
      <c r="A45" s="1">
        <v>43</v>
      </c>
      <c r="B45" s="3">
        <v>0.5</v>
      </c>
      <c r="C45" s="3">
        <v>15.5</v>
      </c>
      <c r="D45" s="3">
        <v>37.305820583002102</v>
      </c>
      <c r="E45" s="2"/>
      <c r="F45" s="3">
        <v>37.2975131669955</v>
      </c>
      <c r="G45" s="3">
        <v>37.305820583002102</v>
      </c>
      <c r="H45" s="3">
        <v>37.794896416991797</v>
      </c>
      <c r="I45" s="3">
        <v>37.794896416991797</v>
      </c>
      <c r="J45" s="3">
        <v>37.799619333003697</v>
      </c>
      <c r="K45" s="2"/>
      <c r="L45" s="3">
        <v>37.980066000003703</v>
      </c>
      <c r="M45" s="3" t="s">
        <v>24</v>
      </c>
      <c r="N45" s="3">
        <v>15.5</v>
      </c>
      <c r="O45" s="3">
        <v>0</v>
      </c>
      <c r="P45" s="3">
        <v>0</v>
      </c>
      <c r="Q45" s="3">
        <v>0.17158512500463999</v>
      </c>
      <c r="R45" s="3">
        <v>834302</v>
      </c>
      <c r="S45" s="3">
        <v>1</v>
      </c>
      <c r="T45" s="3" t="s">
        <v>25</v>
      </c>
      <c r="U45" s="3" t="s">
        <v>26</v>
      </c>
      <c r="V45" s="2"/>
      <c r="W45" s="3" t="s">
        <v>27</v>
      </c>
      <c r="X45" s="3" t="s">
        <v>28</v>
      </c>
      <c r="Y45" s="2"/>
    </row>
    <row r="46" spans="1:25" x14ac:dyDescent="0.2">
      <c r="A46" s="1">
        <v>44</v>
      </c>
      <c r="B46" s="3">
        <v>0.5</v>
      </c>
      <c r="C46" s="3">
        <v>16</v>
      </c>
      <c r="D46" s="3">
        <v>37.987840542002203</v>
      </c>
      <c r="E46" s="2"/>
      <c r="F46" s="3">
        <v>37.9804751670017</v>
      </c>
      <c r="G46" s="3">
        <v>37.987840542002203</v>
      </c>
      <c r="H46" s="3">
        <v>38.478201457997798</v>
      </c>
      <c r="I46" s="3">
        <v>38.478201457997798</v>
      </c>
      <c r="J46" s="3">
        <v>38.482432417003999</v>
      </c>
      <c r="K46" s="2"/>
      <c r="L46" s="3">
        <v>38.700664666990598</v>
      </c>
      <c r="M46" s="3" t="s">
        <v>29</v>
      </c>
      <c r="N46" s="3">
        <v>-16</v>
      </c>
      <c r="O46" s="3">
        <v>1</v>
      </c>
      <c r="P46" s="3">
        <v>1</v>
      </c>
      <c r="Q46" s="3">
        <v>0.22034712499589701</v>
      </c>
      <c r="R46" s="3">
        <v>834302</v>
      </c>
      <c r="S46" s="3">
        <v>1</v>
      </c>
      <c r="T46" s="3" t="s">
        <v>25</v>
      </c>
      <c r="U46" s="3" t="s">
        <v>26</v>
      </c>
      <c r="V46" s="2"/>
      <c r="W46" s="3" t="s">
        <v>27</v>
      </c>
      <c r="X46" s="3" t="s">
        <v>28</v>
      </c>
      <c r="Y46" s="2"/>
    </row>
    <row r="47" spans="1:25" x14ac:dyDescent="0.2">
      <c r="A47" s="1">
        <v>45</v>
      </c>
      <c r="B47" s="3">
        <v>0.5</v>
      </c>
      <c r="C47" s="3">
        <v>16</v>
      </c>
      <c r="D47" s="3">
        <v>38.711135457997401</v>
      </c>
      <c r="E47" s="2"/>
      <c r="F47" s="3">
        <v>38.701039499996099</v>
      </c>
      <c r="G47" s="3">
        <v>38.711135457997401</v>
      </c>
      <c r="H47" s="3">
        <v>39.199652082999798</v>
      </c>
      <c r="I47" s="3">
        <v>39.199652082999798</v>
      </c>
      <c r="J47" s="3">
        <v>39.199652082999798</v>
      </c>
      <c r="K47" s="2"/>
      <c r="L47" s="3">
        <v>39.480427749993403</v>
      </c>
      <c r="M47" s="3" t="s">
        <v>24</v>
      </c>
      <c r="N47" s="3">
        <v>16</v>
      </c>
      <c r="O47" s="3">
        <v>0</v>
      </c>
      <c r="P47" s="3">
        <v>0</v>
      </c>
      <c r="Q47" s="3">
        <v>0.26783983300265402</v>
      </c>
      <c r="R47" s="3">
        <v>834302</v>
      </c>
      <c r="S47" s="3">
        <v>1</v>
      </c>
      <c r="T47" s="3" t="s">
        <v>25</v>
      </c>
      <c r="U47" s="3" t="s">
        <v>26</v>
      </c>
      <c r="V47" s="2"/>
      <c r="W47" s="3" t="s">
        <v>27</v>
      </c>
      <c r="X47" s="3" t="s">
        <v>28</v>
      </c>
      <c r="Y47" s="2"/>
    </row>
    <row r="48" spans="1:25" x14ac:dyDescent="0.2">
      <c r="A48" s="1">
        <v>46</v>
      </c>
      <c r="B48" s="3">
        <v>0.5</v>
      </c>
      <c r="C48" s="3">
        <v>16.5</v>
      </c>
      <c r="D48" s="3">
        <v>39.488528166999501</v>
      </c>
      <c r="E48" s="2"/>
      <c r="F48" s="3">
        <v>39.480850583000603</v>
      </c>
      <c r="G48" s="3">
        <v>39.488528166999501</v>
      </c>
      <c r="H48" s="3">
        <v>39.978037499997299</v>
      </c>
      <c r="I48" s="3">
        <v>39.978037499997299</v>
      </c>
      <c r="J48" s="3">
        <v>39.982256041999797</v>
      </c>
      <c r="K48" s="2"/>
      <c r="L48" s="3">
        <v>39.9965834579925</v>
      </c>
      <c r="M48" s="3" t="s">
        <v>29</v>
      </c>
      <c r="N48" s="3">
        <v>-16.5</v>
      </c>
      <c r="O48" s="3">
        <v>0</v>
      </c>
      <c r="P48" s="3">
        <v>0</v>
      </c>
      <c r="Q48" s="3">
        <v>1.0762958001578201E-2</v>
      </c>
      <c r="R48" s="3">
        <v>834302</v>
      </c>
      <c r="S48" s="3">
        <v>1</v>
      </c>
      <c r="T48" s="3" t="s">
        <v>25</v>
      </c>
      <c r="U48" s="3" t="s">
        <v>26</v>
      </c>
      <c r="V48" s="2"/>
      <c r="W48" s="3" t="s">
        <v>27</v>
      </c>
      <c r="X48" s="3" t="s">
        <v>28</v>
      </c>
      <c r="Y48" s="2"/>
    </row>
    <row r="49" spans="1:25" x14ac:dyDescent="0.2">
      <c r="A49" s="1">
        <v>47</v>
      </c>
      <c r="B49" s="3">
        <v>0.5</v>
      </c>
      <c r="C49" s="3">
        <v>17</v>
      </c>
      <c r="D49" s="3">
        <v>40.003863167003097</v>
      </c>
      <c r="E49" s="2"/>
      <c r="F49" s="3">
        <v>39.996975082991398</v>
      </c>
      <c r="G49" s="3">
        <v>40.003863167003097</v>
      </c>
      <c r="H49" s="3">
        <v>40.495017875000499</v>
      </c>
      <c r="I49" s="3">
        <v>40.495017875000499</v>
      </c>
      <c r="J49" s="3">
        <v>40.499925291995197</v>
      </c>
      <c r="K49" s="3">
        <v>40.782286207992001</v>
      </c>
      <c r="L49" s="3">
        <v>40.8805523749907</v>
      </c>
      <c r="M49" s="3" t="s">
        <v>24</v>
      </c>
      <c r="N49" s="3">
        <v>17</v>
      </c>
      <c r="O49" s="3">
        <v>0</v>
      </c>
      <c r="P49" s="3">
        <v>0</v>
      </c>
      <c r="Q49" s="3">
        <v>0.38359579200914601</v>
      </c>
      <c r="R49" s="3">
        <v>834302</v>
      </c>
      <c r="S49" s="3">
        <v>1</v>
      </c>
      <c r="T49" s="3" t="s">
        <v>25</v>
      </c>
      <c r="U49" s="3" t="s">
        <v>26</v>
      </c>
      <c r="V49" s="2"/>
      <c r="W49" s="3" t="s">
        <v>27</v>
      </c>
      <c r="X49" s="3" t="s">
        <v>28</v>
      </c>
      <c r="Y49" s="2"/>
    </row>
    <row r="50" spans="1:25" x14ac:dyDescent="0.2">
      <c r="A50" s="1">
        <v>48</v>
      </c>
      <c r="B50" s="3">
        <v>0.5</v>
      </c>
      <c r="C50" s="3">
        <v>17.5</v>
      </c>
      <c r="D50" s="3">
        <v>40.889366874995197</v>
      </c>
      <c r="E50" s="2"/>
      <c r="F50" s="3">
        <v>40.880962249997502</v>
      </c>
      <c r="G50" s="3">
        <v>40.889366874995197</v>
      </c>
      <c r="H50" s="3">
        <v>41.378273791997302</v>
      </c>
      <c r="I50" s="3">
        <v>41.378273791997302</v>
      </c>
      <c r="J50" s="3">
        <v>41.382964791992002</v>
      </c>
      <c r="K50" s="3">
        <v>41.665696957992601</v>
      </c>
      <c r="L50" s="3">
        <v>41.750745249999497</v>
      </c>
      <c r="M50" s="3" t="s">
        <v>29</v>
      </c>
      <c r="N50" s="3">
        <v>-17.5</v>
      </c>
      <c r="O50" s="3">
        <v>1</v>
      </c>
      <c r="P50" s="3">
        <v>1</v>
      </c>
      <c r="Q50" s="3">
        <v>0.36732091600424599</v>
      </c>
      <c r="R50" s="3">
        <v>834302</v>
      </c>
      <c r="S50" s="3">
        <v>1</v>
      </c>
      <c r="T50" s="3" t="s">
        <v>25</v>
      </c>
      <c r="U50" s="3" t="s">
        <v>26</v>
      </c>
      <c r="V50" s="2"/>
      <c r="W50" s="3" t="s">
        <v>27</v>
      </c>
      <c r="X50" s="3" t="s">
        <v>28</v>
      </c>
      <c r="Y50" s="2"/>
    </row>
    <row r="51" spans="1:25" x14ac:dyDescent="0.2">
      <c r="A51" s="1">
        <v>49</v>
      </c>
      <c r="B51" s="3">
        <v>0.5</v>
      </c>
      <c r="C51" s="3">
        <v>17.5</v>
      </c>
      <c r="D51" s="3">
        <v>41.760997582998201</v>
      </c>
      <c r="E51" s="2"/>
      <c r="F51" s="3">
        <v>41.751184166991202</v>
      </c>
      <c r="G51" s="3">
        <v>41.760997582998201</v>
      </c>
      <c r="H51" s="3">
        <v>42.250539832995898</v>
      </c>
      <c r="I51" s="3">
        <v>42.250539832995898</v>
      </c>
      <c r="J51" s="3">
        <v>42.250539832995898</v>
      </c>
      <c r="K51" s="2"/>
      <c r="L51" s="3">
        <v>42.530506082999601</v>
      </c>
      <c r="M51" s="3" t="s">
        <v>29</v>
      </c>
      <c r="N51" s="3">
        <v>-17.5</v>
      </c>
      <c r="O51" s="3">
        <v>0</v>
      </c>
      <c r="P51" s="3">
        <v>0</v>
      </c>
      <c r="Q51" s="3">
        <v>0.26799708299222402</v>
      </c>
      <c r="R51" s="3">
        <v>834302</v>
      </c>
      <c r="S51" s="3">
        <v>1</v>
      </c>
      <c r="T51" s="3" t="s">
        <v>25</v>
      </c>
      <c r="U51" s="3" t="s">
        <v>26</v>
      </c>
      <c r="V51" s="2"/>
      <c r="W51" s="3" t="s">
        <v>27</v>
      </c>
      <c r="X51" s="3" t="s">
        <v>28</v>
      </c>
      <c r="Y51" s="2"/>
    </row>
    <row r="52" spans="1:25" x14ac:dyDescent="0.2">
      <c r="A52" s="1">
        <v>50</v>
      </c>
      <c r="B52" s="3">
        <v>0.5</v>
      </c>
      <c r="C52" s="3">
        <v>18</v>
      </c>
      <c r="D52" s="3">
        <v>42.5387264169985</v>
      </c>
      <c r="E52" s="2"/>
      <c r="F52" s="3">
        <v>42.530967375001602</v>
      </c>
      <c r="G52" s="3">
        <v>42.5387264169985</v>
      </c>
      <c r="H52" s="3">
        <v>43.028280124999597</v>
      </c>
      <c r="I52" s="3">
        <v>43.028280124999597</v>
      </c>
      <c r="J52" s="3">
        <v>43.032485624993598</v>
      </c>
      <c r="K52" s="3">
        <v>43.315393208002199</v>
      </c>
      <c r="L52" s="3">
        <v>43.380444458001897</v>
      </c>
      <c r="M52" s="3" t="s">
        <v>24</v>
      </c>
      <c r="N52" s="3">
        <v>18</v>
      </c>
      <c r="O52" s="3">
        <v>0</v>
      </c>
      <c r="P52" s="3">
        <v>0</v>
      </c>
      <c r="Q52" s="3">
        <v>0.34658695799589601</v>
      </c>
      <c r="R52" s="3">
        <v>834302</v>
      </c>
      <c r="S52" s="3">
        <v>1</v>
      </c>
      <c r="T52" s="3" t="s">
        <v>25</v>
      </c>
      <c r="U52" s="3" t="s">
        <v>26</v>
      </c>
      <c r="V52" s="2"/>
      <c r="W52" s="3" t="s">
        <v>27</v>
      </c>
      <c r="X52" s="3" t="s">
        <v>28</v>
      </c>
      <c r="Y52" s="2"/>
    </row>
    <row r="53" spans="1:25" x14ac:dyDescent="0.2">
      <c r="A53" s="1">
        <v>51</v>
      </c>
      <c r="B53" s="3">
        <v>0.5</v>
      </c>
      <c r="C53" s="3">
        <v>18.5</v>
      </c>
      <c r="D53" s="3">
        <v>43.388385917001898</v>
      </c>
      <c r="E53" s="2"/>
      <c r="F53" s="3">
        <v>43.380852707996397</v>
      </c>
      <c r="G53" s="3">
        <v>43.388385917001898</v>
      </c>
      <c r="H53" s="3">
        <v>43.878337874994003</v>
      </c>
      <c r="I53" s="3">
        <v>43.878337874994003</v>
      </c>
      <c r="J53" s="3">
        <v>43.882668249993003</v>
      </c>
      <c r="K53" s="3">
        <v>44.1658102499932</v>
      </c>
      <c r="L53" s="3">
        <v>44.296890874989899</v>
      </c>
      <c r="M53" s="3" t="s">
        <v>29</v>
      </c>
      <c r="N53" s="3">
        <v>-18.5</v>
      </c>
      <c r="O53" s="3">
        <v>1</v>
      </c>
      <c r="P53" s="3">
        <v>1</v>
      </c>
      <c r="Q53" s="3">
        <v>0.414589457999682</v>
      </c>
      <c r="R53" s="3">
        <v>834302</v>
      </c>
      <c r="S53" s="3">
        <v>1</v>
      </c>
      <c r="T53" s="3" t="s">
        <v>25</v>
      </c>
      <c r="U53" s="3" t="s">
        <v>26</v>
      </c>
      <c r="V53" s="2"/>
      <c r="W53" s="3" t="s">
        <v>27</v>
      </c>
      <c r="X53" s="3" t="s">
        <v>28</v>
      </c>
      <c r="Y53" s="2"/>
    </row>
    <row r="54" spans="1:25" x14ac:dyDescent="0.2">
      <c r="A54" s="1">
        <v>52</v>
      </c>
      <c r="B54" s="3">
        <v>0.5</v>
      </c>
      <c r="C54" s="3">
        <v>18.5</v>
      </c>
      <c r="D54" s="3">
        <v>44.305233916995398</v>
      </c>
      <c r="E54" s="2"/>
      <c r="F54" s="3">
        <v>44.297319042001597</v>
      </c>
      <c r="G54" s="3">
        <v>44.305233916995398</v>
      </c>
      <c r="H54" s="3">
        <v>44.794946583002499</v>
      </c>
      <c r="I54" s="3">
        <v>44.794946583002499</v>
      </c>
      <c r="J54" s="3">
        <v>44.799146999997902</v>
      </c>
      <c r="K54" s="2"/>
      <c r="L54" s="3">
        <v>45.047160916990798</v>
      </c>
      <c r="M54" s="3" t="s">
        <v>24</v>
      </c>
      <c r="N54" s="3">
        <v>18.5</v>
      </c>
      <c r="O54" s="3">
        <v>1</v>
      </c>
      <c r="P54" s="3">
        <v>1</v>
      </c>
      <c r="Q54" s="3">
        <v>0.24876683400361799</v>
      </c>
      <c r="R54" s="3">
        <v>834302</v>
      </c>
      <c r="S54" s="3">
        <v>1</v>
      </c>
      <c r="T54" s="3" t="s">
        <v>25</v>
      </c>
      <c r="U54" s="3" t="s">
        <v>26</v>
      </c>
      <c r="V54" s="2"/>
      <c r="W54" s="3" t="s">
        <v>27</v>
      </c>
      <c r="X54" s="3" t="s">
        <v>28</v>
      </c>
      <c r="Y54" s="2"/>
    </row>
    <row r="55" spans="1:25" x14ac:dyDescent="0.2">
      <c r="A55" s="1">
        <v>53</v>
      </c>
      <c r="B55" s="3">
        <v>0.5</v>
      </c>
      <c r="C55" s="3">
        <v>18.5</v>
      </c>
      <c r="D55" s="3">
        <v>45.055317541991798</v>
      </c>
      <c r="E55" s="2"/>
      <c r="F55" s="3">
        <v>45.047563832995401</v>
      </c>
      <c r="G55" s="3">
        <v>45.055317541991798</v>
      </c>
      <c r="H55" s="3">
        <v>45.544928999996003</v>
      </c>
      <c r="I55" s="3">
        <v>45.544928999996003</v>
      </c>
      <c r="J55" s="3">
        <v>45.549075457995102</v>
      </c>
      <c r="K55" s="3">
        <v>45.831470958000899</v>
      </c>
      <c r="L55" s="3">
        <v>45.900804417004103</v>
      </c>
      <c r="M55" s="3" t="s">
        <v>24</v>
      </c>
      <c r="N55" s="3">
        <v>18.5</v>
      </c>
      <c r="O55" s="3">
        <v>0</v>
      </c>
      <c r="P55" s="3">
        <v>0</v>
      </c>
      <c r="Q55" s="3">
        <v>0.35357716699945702</v>
      </c>
      <c r="R55" s="3">
        <v>834302</v>
      </c>
      <c r="S55" s="3">
        <v>1</v>
      </c>
      <c r="T55" s="3" t="s">
        <v>25</v>
      </c>
      <c r="U55" s="3" t="s">
        <v>26</v>
      </c>
      <c r="V55" s="2"/>
      <c r="W55" s="3" t="s">
        <v>27</v>
      </c>
      <c r="X55" s="3" t="s">
        <v>28</v>
      </c>
      <c r="Y55" s="2"/>
    </row>
    <row r="56" spans="1:25" x14ac:dyDescent="0.2">
      <c r="A56" s="1">
        <v>54</v>
      </c>
      <c r="B56" s="3">
        <v>0.5</v>
      </c>
      <c r="C56" s="3">
        <v>19</v>
      </c>
      <c r="D56" s="3">
        <v>45.911195332999299</v>
      </c>
      <c r="E56" s="2"/>
      <c r="F56" s="3">
        <v>45.901132625003797</v>
      </c>
      <c r="G56" s="3">
        <v>45.911195332999299</v>
      </c>
      <c r="H56" s="3">
        <v>46.400594124992502</v>
      </c>
      <c r="I56" s="3">
        <v>46.400594124992502</v>
      </c>
      <c r="J56" s="3">
        <v>46.400594124992502</v>
      </c>
      <c r="K56" s="3">
        <v>46.698960124995203</v>
      </c>
      <c r="L56" s="3">
        <v>46.7473605830019</v>
      </c>
      <c r="M56" s="3" t="s">
        <v>29</v>
      </c>
      <c r="N56" s="3">
        <v>-19</v>
      </c>
      <c r="O56" s="3">
        <v>1</v>
      </c>
      <c r="P56" s="3">
        <v>1</v>
      </c>
      <c r="Q56" s="3">
        <v>0.34225454200350203</v>
      </c>
      <c r="R56" s="3">
        <v>834302</v>
      </c>
      <c r="S56" s="3">
        <v>1</v>
      </c>
      <c r="T56" s="3" t="s">
        <v>25</v>
      </c>
      <c r="U56" s="3" t="s">
        <v>26</v>
      </c>
      <c r="V56" s="2"/>
      <c r="W56" s="3" t="s">
        <v>27</v>
      </c>
      <c r="X56" s="3" t="s">
        <v>28</v>
      </c>
      <c r="Y56" s="2"/>
    </row>
    <row r="57" spans="1:25" x14ac:dyDescent="0.2">
      <c r="A57" s="1">
        <v>55</v>
      </c>
      <c r="B57" s="3">
        <v>0.5</v>
      </c>
      <c r="C57" s="3">
        <v>19</v>
      </c>
      <c r="D57" s="3">
        <v>46.755845416992102</v>
      </c>
      <c r="E57" s="2"/>
      <c r="F57" s="3">
        <v>46.7477795000013</v>
      </c>
      <c r="G57" s="3">
        <v>46.755845416992102</v>
      </c>
      <c r="H57" s="3">
        <v>47.245056416999397</v>
      </c>
      <c r="I57" s="3">
        <v>47.245056416999397</v>
      </c>
      <c r="J57" s="3">
        <v>47.249117582992803</v>
      </c>
      <c r="K57" s="2"/>
      <c r="L57" s="3">
        <v>47.496830417003402</v>
      </c>
      <c r="M57" s="3" t="s">
        <v>29</v>
      </c>
      <c r="N57" s="3">
        <v>-19</v>
      </c>
      <c r="O57" s="3">
        <v>0</v>
      </c>
      <c r="P57" s="3">
        <v>0</v>
      </c>
      <c r="Q57" s="3">
        <v>0.24781970800540901</v>
      </c>
      <c r="R57" s="3">
        <v>834302</v>
      </c>
      <c r="S57" s="3">
        <v>1</v>
      </c>
      <c r="T57" s="3" t="s">
        <v>25</v>
      </c>
      <c r="U57" s="3" t="s">
        <v>26</v>
      </c>
      <c r="V57" s="2"/>
      <c r="W57" s="3" t="s">
        <v>27</v>
      </c>
      <c r="X57" s="3" t="s">
        <v>28</v>
      </c>
      <c r="Y57" s="2"/>
    </row>
    <row r="58" spans="1:25" x14ac:dyDescent="0.2">
      <c r="A58" s="1">
        <v>56</v>
      </c>
      <c r="B58" s="3">
        <v>0.5</v>
      </c>
      <c r="C58" s="3">
        <v>19.5</v>
      </c>
      <c r="D58" s="3">
        <v>47.5043536250014</v>
      </c>
      <c r="E58" s="2"/>
      <c r="F58" s="3">
        <v>47.497183749990697</v>
      </c>
      <c r="G58" s="3">
        <v>47.5043536250014</v>
      </c>
      <c r="H58" s="3">
        <v>47.995305207994498</v>
      </c>
      <c r="I58" s="3">
        <v>47.995305207994498</v>
      </c>
      <c r="J58" s="3">
        <v>47.9996219579916</v>
      </c>
      <c r="K58" s="3">
        <v>48.281654249993203</v>
      </c>
      <c r="L58" s="3">
        <v>48.400084416993202</v>
      </c>
      <c r="M58" s="3" t="s">
        <v>29</v>
      </c>
      <c r="N58" s="3">
        <v>-19.5</v>
      </c>
      <c r="O58" s="3">
        <v>1</v>
      </c>
      <c r="P58" s="3">
        <v>1</v>
      </c>
      <c r="Q58" s="3">
        <v>0.40335670899366999</v>
      </c>
      <c r="R58" s="3">
        <v>834302</v>
      </c>
      <c r="S58" s="3">
        <v>1</v>
      </c>
      <c r="T58" s="3" t="s">
        <v>25</v>
      </c>
      <c r="U58" s="3" t="s">
        <v>26</v>
      </c>
      <c r="V58" s="2"/>
      <c r="W58" s="3" t="s">
        <v>27</v>
      </c>
      <c r="X58" s="3" t="s">
        <v>28</v>
      </c>
      <c r="Y58" s="2"/>
    </row>
    <row r="59" spans="1:25" x14ac:dyDescent="0.2">
      <c r="A59" s="1">
        <v>57</v>
      </c>
      <c r="B59" s="3">
        <v>0.5</v>
      </c>
      <c r="C59" s="3">
        <v>19.5</v>
      </c>
      <c r="D59" s="3">
        <v>48.411435457994202</v>
      </c>
      <c r="E59" s="2"/>
      <c r="F59" s="3">
        <v>48.4004255000036</v>
      </c>
      <c r="G59" s="3">
        <v>48.411435457994202</v>
      </c>
      <c r="H59" s="3">
        <v>48.895062208001001</v>
      </c>
      <c r="I59" s="3">
        <v>48.895062208001001</v>
      </c>
      <c r="J59" s="3">
        <v>48.900081500003601</v>
      </c>
      <c r="K59" s="3">
        <v>49.189042666999697</v>
      </c>
      <c r="L59" s="3">
        <v>49.180693582995403</v>
      </c>
      <c r="M59" s="3" t="s">
        <v>29</v>
      </c>
      <c r="N59" s="3">
        <v>-19.5</v>
      </c>
      <c r="O59" s="3">
        <v>1</v>
      </c>
      <c r="P59" s="3">
        <v>1</v>
      </c>
      <c r="Q59" s="3">
        <v>0.27260825000121303</v>
      </c>
      <c r="R59" s="3">
        <v>834302</v>
      </c>
      <c r="S59" s="3">
        <v>1</v>
      </c>
      <c r="T59" s="3" t="s">
        <v>25</v>
      </c>
      <c r="U59" s="3" t="s">
        <v>26</v>
      </c>
      <c r="V59" s="2"/>
      <c r="W59" s="3" t="s">
        <v>27</v>
      </c>
      <c r="X59" s="3" t="s">
        <v>28</v>
      </c>
      <c r="Y59" s="2"/>
    </row>
    <row r="60" spans="1:25" x14ac:dyDescent="0.2">
      <c r="A60" s="1">
        <v>58</v>
      </c>
      <c r="B60" s="3">
        <v>0.5</v>
      </c>
      <c r="C60" s="3">
        <v>19.5</v>
      </c>
      <c r="D60" s="3">
        <v>49.189042666999697</v>
      </c>
      <c r="E60" s="2"/>
      <c r="F60" s="3">
        <v>49.181142749992397</v>
      </c>
      <c r="G60" s="3">
        <v>49.189042666999697</v>
      </c>
      <c r="H60" s="3">
        <v>49.678397333002103</v>
      </c>
      <c r="I60" s="3">
        <v>49.678397333002103</v>
      </c>
      <c r="J60" s="3">
        <v>49.682646749992301</v>
      </c>
      <c r="K60" s="2"/>
      <c r="L60" s="3">
        <v>49.9303773749998</v>
      </c>
      <c r="M60" s="3" t="s">
        <v>29</v>
      </c>
      <c r="N60" s="3">
        <v>-19.5</v>
      </c>
      <c r="O60" s="3">
        <v>1</v>
      </c>
      <c r="P60" s="3">
        <v>1</v>
      </c>
      <c r="Q60" s="3">
        <v>0.24764441601291801</v>
      </c>
      <c r="R60" s="3">
        <v>834302</v>
      </c>
      <c r="S60" s="3">
        <v>1</v>
      </c>
      <c r="T60" s="3" t="s">
        <v>25</v>
      </c>
      <c r="U60" s="3" t="s">
        <v>26</v>
      </c>
      <c r="V60" s="2"/>
      <c r="W60" s="3" t="s">
        <v>27</v>
      </c>
      <c r="X60" s="3" t="s">
        <v>28</v>
      </c>
      <c r="Y60" s="2"/>
    </row>
    <row r="61" spans="1:25" x14ac:dyDescent="0.2">
      <c r="A61" s="1">
        <v>59</v>
      </c>
      <c r="B61" s="3">
        <v>0.5</v>
      </c>
      <c r="C61" s="3">
        <v>19</v>
      </c>
      <c r="D61" s="3">
        <v>49.938624417001897</v>
      </c>
      <c r="E61" s="2"/>
      <c r="F61" s="3">
        <v>49.930801832990298</v>
      </c>
      <c r="G61" s="3">
        <v>49.938624417001897</v>
      </c>
      <c r="H61" s="3">
        <v>50.428438249990002</v>
      </c>
      <c r="I61" s="3">
        <v>50.428438249990002</v>
      </c>
      <c r="J61" s="3">
        <v>50.432684832994703</v>
      </c>
      <c r="K61" s="2"/>
      <c r="L61" s="3">
        <v>50.663796666994998</v>
      </c>
      <c r="M61" s="3" t="s">
        <v>24</v>
      </c>
      <c r="N61" s="3">
        <v>19</v>
      </c>
      <c r="O61" s="3">
        <v>0</v>
      </c>
      <c r="P61" s="3">
        <v>0</v>
      </c>
      <c r="Q61" s="3">
        <v>0.222119167010533</v>
      </c>
      <c r="R61" s="3">
        <v>834302</v>
      </c>
      <c r="S61" s="3">
        <v>1</v>
      </c>
      <c r="T61" s="3" t="s">
        <v>25</v>
      </c>
      <c r="U61" s="3" t="s">
        <v>26</v>
      </c>
      <c r="V61" s="2"/>
      <c r="W61" s="3" t="s">
        <v>27</v>
      </c>
      <c r="X61" s="3" t="s">
        <v>28</v>
      </c>
      <c r="Y61" s="2"/>
    </row>
    <row r="62" spans="1:25" x14ac:dyDescent="0.2">
      <c r="A62" s="1">
        <v>60</v>
      </c>
      <c r="B62" s="3">
        <v>0.5</v>
      </c>
      <c r="C62" s="3">
        <v>19.5</v>
      </c>
      <c r="D62" s="3">
        <v>50.671090499992701</v>
      </c>
      <c r="E62" s="2"/>
      <c r="F62" s="3">
        <v>50.664190291994601</v>
      </c>
      <c r="G62" s="3">
        <v>50.671090499992701</v>
      </c>
      <c r="H62" s="3">
        <v>51.161787582997903</v>
      </c>
      <c r="I62" s="3">
        <v>51.161787582997903</v>
      </c>
      <c r="J62" s="3">
        <v>51.166141875000903</v>
      </c>
      <c r="K62" s="3">
        <v>51.448834625000003</v>
      </c>
      <c r="L62" s="3">
        <v>51.647539041994598</v>
      </c>
      <c r="M62" s="3" t="s">
        <v>24</v>
      </c>
      <c r="N62" s="3">
        <v>19.5</v>
      </c>
      <c r="O62" s="3">
        <v>1</v>
      </c>
      <c r="P62" s="3">
        <v>1</v>
      </c>
      <c r="Q62" s="3">
        <v>0.48216645799402602</v>
      </c>
      <c r="R62" s="3">
        <v>834302</v>
      </c>
      <c r="S62" s="3">
        <v>1</v>
      </c>
      <c r="T62" s="3" t="s">
        <v>25</v>
      </c>
      <c r="U62" s="3" t="s">
        <v>26</v>
      </c>
      <c r="V62" s="2"/>
      <c r="W62" s="3" t="s">
        <v>27</v>
      </c>
      <c r="X62" s="3" t="s">
        <v>28</v>
      </c>
      <c r="Y62" s="2"/>
    </row>
    <row r="63" spans="1:25" x14ac:dyDescent="0.2">
      <c r="A63" s="1">
        <v>61</v>
      </c>
      <c r="B63" s="3">
        <v>0.5</v>
      </c>
      <c r="C63" s="3">
        <v>19.5</v>
      </c>
      <c r="D63" s="3">
        <v>51.655110541993103</v>
      </c>
      <c r="E63" s="2"/>
      <c r="F63" s="3">
        <v>51.647899374991503</v>
      </c>
      <c r="G63" s="3">
        <v>51.655110541993103</v>
      </c>
      <c r="H63" s="3">
        <v>52.145175874989903</v>
      </c>
      <c r="I63" s="3">
        <v>52.145175874989903</v>
      </c>
      <c r="J63" s="3">
        <v>52.150037207990003</v>
      </c>
      <c r="K63" s="3">
        <v>52.432657124998499</v>
      </c>
      <c r="L63" s="3">
        <v>52.513942624995302</v>
      </c>
      <c r="M63" s="3" t="s">
        <v>24</v>
      </c>
      <c r="N63" s="3">
        <v>19.5</v>
      </c>
      <c r="O63" s="3">
        <v>1</v>
      </c>
      <c r="P63" s="3">
        <v>1</v>
      </c>
      <c r="Q63" s="3">
        <v>0.358468624996021</v>
      </c>
      <c r="R63" s="3">
        <v>834302</v>
      </c>
      <c r="S63" s="3">
        <v>1</v>
      </c>
      <c r="T63" s="3" t="s">
        <v>25</v>
      </c>
      <c r="U63" s="3" t="s">
        <v>26</v>
      </c>
      <c r="V63" s="2"/>
      <c r="W63" s="3" t="s">
        <v>27</v>
      </c>
      <c r="X63" s="3" t="s">
        <v>28</v>
      </c>
      <c r="Y63" s="2"/>
    </row>
    <row r="64" spans="1:25" x14ac:dyDescent="0.2">
      <c r="A64" s="1">
        <v>62</v>
      </c>
      <c r="B64" s="3">
        <v>0.5</v>
      </c>
      <c r="C64" s="3">
        <v>19.5</v>
      </c>
      <c r="D64" s="3">
        <v>52.521800417001899</v>
      </c>
      <c r="E64" s="2"/>
      <c r="F64" s="3">
        <v>52.514365750001197</v>
      </c>
      <c r="G64" s="3">
        <v>52.521800417001899</v>
      </c>
      <c r="H64" s="3">
        <v>53.011851457995398</v>
      </c>
      <c r="I64" s="3">
        <v>53.011851457995398</v>
      </c>
      <c r="J64" s="3">
        <v>53.0160052919964</v>
      </c>
      <c r="K64" s="2"/>
      <c r="L64" s="3">
        <v>53.23046875</v>
      </c>
      <c r="M64" s="3" t="s">
        <v>29</v>
      </c>
      <c r="N64" s="3">
        <v>-19.5</v>
      </c>
      <c r="O64" s="3">
        <v>0</v>
      </c>
      <c r="P64" s="3">
        <v>0</v>
      </c>
      <c r="Q64" s="3">
        <v>0.21510450000641901</v>
      </c>
      <c r="R64" s="3">
        <v>834302</v>
      </c>
      <c r="S64" s="3">
        <v>1</v>
      </c>
      <c r="T64" s="3" t="s">
        <v>25</v>
      </c>
      <c r="U64" s="3" t="s">
        <v>26</v>
      </c>
      <c r="V64" s="2"/>
      <c r="W64" s="3" t="s">
        <v>27</v>
      </c>
      <c r="X64" s="3" t="s">
        <v>28</v>
      </c>
      <c r="Y64" s="2"/>
    </row>
    <row r="65" spans="1:25" x14ac:dyDescent="0.2">
      <c r="A65" s="1">
        <v>63</v>
      </c>
      <c r="B65" s="3">
        <v>0.5</v>
      </c>
      <c r="C65" s="3">
        <v>20</v>
      </c>
      <c r="D65" s="3">
        <v>53.238730291995999</v>
      </c>
      <c r="E65" s="2"/>
      <c r="F65" s="3">
        <v>53.230899499991203</v>
      </c>
      <c r="G65" s="3">
        <v>53.238730291995999</v>
      </c>
      <c r="H65" s="3">
        <v>53.728530874999699</v>
      </c>
      <c r="I65" s="3">
        <v>53.728530874999699</v>
      </c>
      <c r="J65" s="3">
        <v>53.732921832997803</v>
      </c>
      <c r="K65" s="3">
        <v>54.015884458000102</v>
      </c>
      <c r="L65" s="3">
        <v>54.313928457995601</v>
      </c>
      <c r="M65" s="3" t="s">
        <v>24</v>
      </c>
      <c r="N65" s="3">
        <v>20</v>
      </c>
      <c r="O65" s="3">
        <v>1</v>
      </c>
      <c r="P65" s="3">
        <v>1</v>
      </c>
      <c r="Q65" s="3">
        <v>0.57734183401044004</v>
      </c>
      <c r="R65" s="3">
        <v>834302</v>
      </c>
      <c r="S65" s="3">
        <v>1</v>
      </c>
      <c r="T65" s="3" t="s">
        <v>25</v>
      </c>
      <c r="U65" s="3" t="s">
        <v>26</v>
      </c>
      <c r="V65" s="2"/>
      <c r="W65" s="3" t="s">
        <v>27</v>
      </c>
      <c r="X65" s="3" t="s">
        <v>28</v>
      </c>
      <c r="Y65" s="2"/>
    </row>
    <row r="66" spans="1:25" x14ac:dyDescent="0.2">
      <c r="A66" s="1">
        <v>64</v>
      </c>
      <c r="B66" s="3">
        <v>0.5</v>
      </c>
      <c r="C66" s="3">
        <v>20</v>
      </c>
      <c r="D66" s="3">
        <v>54.321752374991803</v>
      </c>
      <c r="E66" s="2"/>
      <c r="F66" s="3">
        <v>54.314379041999899</v>
      </c>
      <c r="G66" s="3">
        <v>54.321752374991803</v>
      </c>
      <c r="H66" s="3">
        <v>54.811848582990898</v>
      </c>
      <c r="I66" s="3">
        <v>54.811848582990898</v>
      </c>
      <c r="J66" s="3">
        <v>54.815992542004103</v>
      </c>
      <c r="K66" s="3">
        <v>55.099196583003497</v>
      </c>
      <c r="L66" s="3">
        <v>55.364063832996202</v>
      </c>
      <c r="M66" s="3" t="s">
        <v>24</v>
      </c>
      <c r="N66" s="3">
        <v>20</v>
      </c>
      <c r="O66" s="3">
        <v>1</v>
      </c>
      <c r="P66" s="3">
        <v>1</v>
      </c>
      <c r="Q66" s="3">
        <v>0.54082895800820596</v>
      </c>
      <c r="R66" s="3">
        <v>834302</v>
      </c>
      <c r="S66" s="3">
        <v>1</v>
      </c>
      <c r="T66" s="3" t="s">
        <v>25</v>
      </c>
      <c r="U66" s="3" t="s">
        <v>26</v>
      </c>
      <c r="V66" s="2"/>
      <c r="W66" s="3" t="s">
        <v>27</v>
      </c>
      <c r="X66" s="3" t="s">
        <v>28</v>
      </c>
      <c r="Y66" s="2"/>
    </row>
    <row r="67" spans="1:25" x14ac:dyDescent="0.2">
      <c r="A67" s="1">
        <v>65</v>
      </c>
      <c r="B67" s="3">
        <v>0.5</v>
      </c>
      <c r="C67" s="3">
        <v>20</v>
      </c>
      <c r="D67" s="3">
        <v>55.372208417000401</v>
      </c>
      <c r="E67" s="2"/>
      <c r="F67" s="3">
        <v>55.364500208001097</v>
      </c>
      <c r="G67" s="3">
        <v>55.372208417000401</v>
      </c>
      <c r="H67" s="3">
        <v>55.861893499997699</v>
      </c>
      <c r="I67" s="3">
        <v>55.861893499997699</v>
      </c>
      <c r="J67" s="3">
        <v>55.8658399580017</v>
      </c>
      <c r="K67" s="3">
        <v>56.149390791993902</v>
      </c>
      <c r="L67" s="3">
        <v>56.247392833000099</v>
      </c>
      <c r="M67" s="3" t="s">
        <v>24</v>
      </c>
      <c r="N67" s="3">
        <v>20</v>
      </c>
      <c r="O67" s="3">
        <v>0</v>
      </c>
      <c r="P67" s="3">
        <v>0</v>
      </c>
      <c r="Q67" s="3">
        <v>0.37594179200823402</v>
      </c>
      <c r="R67" s="3">
        <v>834302</v>
      </c>
      <c r="S67" s="3">
        <v>1</v>
      </c>
      <c r="T67" s="3" t="s">
        <v>25</v>
      </c>
      <c r="U67" s="3" t="s">
        <v>26</v>
      </c>
      <c r="V67" s="2"/>
      <c r="W67" s="3" t="s">
        <v>27</v>
      </c>
      <c r="X67" s="3" t="s">
        <v>28</v>
      </c>
      <c r="Y67" s="2"/>
    </row>
    <row r="68" spans="1:25" x14ac:dyDescent="0.2">
      <c r="A68" s="1">
        <v>66</v>
      </c>
      <c r="B68" s="3">
        <v>0.5</v>
      </c>
      <c r="C68" s="3">
        <v>20</v>
      </c>
      <c r="D68" s="3">
        <v>56.255398458000897</v>
      </c>
      <c r="E68" s="2"/>
      <c r="F68" s="3">
        <v>56.247833292000003</v>
      </c>
      <c r="G68" s="3">
        <v>56.255398458000897</v>
      </c>
      <c r="H68" s="3">
        <v>56.745516666996998</v>
      </c>
      <c r="I68" s="3">
        <v>56.745516666996998</v>
      </c>
      <c r="J68" s="3">
        <v>56.749764749998597</v>
      </c>
      <c r="K68" s="3">
        <v>57.032678874995298</v>
      </c>
      <c r="L68" s="3">
        <v>57.2471092079941</v>
      </c>
      <c r="M68" s="3" t="s">
        <v>29</v>
      </c>
      <c r="N68" s="3">
        <v>-20</v>
      </c>
      <c r="O68" s="3">
        <v>1</v>
      </c>
      <c r="P68" s="3">
        <v>1</v>
      </c>
      <c r="Q68" s="3">
        <v>0.492208833995392</v>
      </c>
      <c r="R68" s="3">
        <v>834302</v>
      </c>
      <c r="S68" s="3">
        <v>1</v>
      </c>
      <c r="T68" s="3" t="s">
        <v>25</v>
      </c>
      <c r="U68" s="3" t="s">
        <v>26</v>
      </c>
      <c r="V68" s="2"/>
      <c r="W68" s="3" t="s">
        <v>27</v>
      </c>
      <c r="X68" s="3" t="s">
        <v>28</v>
      </c>
      <c r="Y68" s="2"/>
    </row>
    <row r="69" spans="1:25" x14ac:dyDescent="0.2">
      <c r="A69" s="1">
        <v>67</v>
      </c>
      <c r="B69" s="3">
        <v>0.5</v>
      </c>
      <c r="C69" s="3">
        <v>20</v>
      </c>
      <c r="D69" s="3">
        <v>57.255620416996003</v>
      </c>
      <c r="E69" s="2"/>
      <c r="F69" s="3">
        <v>57.2474307919911</v>
      </c>
      <c r="G69" s="3">
        <v>57.255620416996003</v>
      </c>
      <c r="H69" s="3">
        <v>57.7452731249941</v>
      </c>
      <c r="I69" s="3">
        <v>57.7452731249941</v>
      </c>
      <c r="J69" s="3">
        <v>57.749665625000503</v>
      </c>
      <c r="K69" s="3">
        <v>58.032229832999299</v>
      </c>
      <c r="L69" s="3">
        <v>58.134667708000102</v>
      </c>
      <c r="M69" s="3" t="s">
        <v>24</v>
      </c>
      <c r="N69" s="3">
        <v>20</v>
      </c>
      <c r="O69" s="3">
        <v>1</v>
      </c>
      <c r="P69" s="3">
        <v>1</v>
      </c>
      <c r="Q69" s="3">
        <v>0.384414833009942</v>
      </c>
      <c r="R69" s="3">
        <v>834302</v>
      </c>
      <c r="S69" s="3">
        <v>1</v>
      </c>
      <c r="T69" s="3" t="s">
        <v>25</v>
      </c>
      <c r="U69" s="3" t="s">
        <v>26</v>
      </c>
      <c r="V69" s="2"/>
      <c r="W69" s="3" t="s">
        <v>27</v>
      </c>
      <c r="X69" s="3" t="s">
        <v>28</v>
      </c>
      <c r="Y69" s="2"/>
    </row>
    <row r="70" spans="1:25" x14ac:dyDescent="0.2">
      <c r="A70" s="1">
        <v>68</v>
      </c>
      <c r="B70" s="3">
        <v>0.5</v>
      </c>
      <c r="C70" s="3">
        <v>20</v>
      </c>
      <c r="D70" s="3">
        <v>58.1445999580028</v>
      </c>
      <c r="E70" s="2"/>
      <c r="F70" s="3">
        <v>58.135023458002301</v>
      </c>
      <c r="G70" s="3">
        <v>58.1445999580028</v>
      </c>
      <c r="H70" s="3">
        <v>58.6332504169986</v>
      </c>
      <c r="I70" s="3">
        <v>58.6332504169986</v>
      </c>
      <c r="J70" s="3">
        <v>58.6332504169986</v>
      </c>
      <c r="K70" s="3">
        <v>58.928633707997498</v>
      </c>
      <c r="L70" s="3">
        <v>58.998108999992802</v>
      </c>
      <c r="M70" s="3" t="s">
        <v>29</v>
      </c>
      <c r="N70" s="3">
        <v>-20</v>
      </c>
      <c r="O70" s="3">
        <v>1</v>
      </c>
      <c r="P70" s="3">
        <v>1</v>
      </c>
      <c r="Q70" s="3">
        <v>0.35358604200882798</v>
      </c>
      <c r="R70" s="3">
        <v>834302</v>
      </c>
      <c r="S70" s="3">
        <v>1</v>
      </c>
      <c r="T70" s="3" t="s">
        <v>25</v>
      </c>
      <c r="U70" s="3" t="s">
        <v>26</v>
      </c>
      <c r="V70" s="2"/>
      <c r="W70" s="3" t="s">
        <v>27</v>
      </c>
      <c r="X70" s="3" t="s">
        <v>28</v>
      </c>
      <c r="Y70" s="2"/>
    </row>
    <row r="71" spans="1:25" x14ac:dyDescent="0.2">
      <c r="A71" s="1">
        <v>69</v>
      </c>
      <c r="B71" s="3">
        <v>0.5</v>
      </c>
      <c r="C71" s="3">
        <v>19.5</v>
      </c>
      <c r="D71" s="3">
        <v>59.006562916998497</v>
      </c>
      <c r="E71" s="2"/>
      <c r="F71" s="3">
        <v>58.998649041997901</v>
      </c>
      <c r="G71" s="3">
        <v>59.006562916998497</v>
      </c>
      <c r="H71" s="3">
        <v>59.495234166999602</v>
      </c>
      <c r="I71" s="3">
        <v>59.495234166999602</v>
      </c>
      <c r="J71" s="3">
        <v>59.499773499992401</v>
      </c>
      <c r="K71" s="2"/>
      <c r="L71" s="3">
        <v>59.751904207994798</v>
      </c>
      <c r="M71" s="3" t="s">
        <v>24</v>
      </c>
      <c r="N71" s="3">
        <v>19.5</v>
      </c>
      <c r="O71" s="3">
        <v>1</v>
      </c>
      <c r="P71" s="3">
        <v>1</v>
      </c>
      <c r="Q71" s="3">
        <v>0.25058058300055602</v>
      </c>
      <c r="R71" s="3">
        <v>834302</v>
      </c>
      <c r="S71" s="3">
        <v>1</v>
      </c>
      <c r="T71" s="3" t="s">
        <v>25</v>
      </c>
      <c r="U71" s="3" t="s">
        <v>26</v>
      </c>
      <c r="V71" s="2"/>
      <c r="W71" s="3" t="s">
        <v>27</v>
      </c>
      <c r="X71" s="3" t="s">
        <v>28</v>
      </c>
      <c r="Y71" s="2"/>
    </row>
    <row r="72" spans="1:25" x14ac:dyDescent="0.2">
      <c r="A72" s="1">
        <v>70</v>
      </c>
      <c r="B72" s="3">
        <v>0.5</v>
      </c>
      <c r="C72" s="3">
        <v>19.5</v>
      </c>
      <c r="D72" s="3">
        <v>59.761759041997699</v>
      </c>
      <c r="E72" s="2"/>
      <c r="F72" s="3">
        <v>59.752217457993503</v>
      </c>
      <c r="G72" s="3">
        <v>59.761759041997699</v>
      </c>
      <c r="H72" s="3">
        <v>60.250662916994798</v>
      </c>
      <c r="I72" s="3">
        <v>60.250662916994798</v>
      </c>
      <c r="J72" s="3">
        <v>60.250662916994798</v>
      </c>
      <c r="K72" s="3">
        <v>60.545285832995397</v>
      </c>
      <c r="L72" s="3">
        <v>60.618145792002899</v>
      </c>
      <c r="M72" s="3" t="s">
        <v>24</v>
      </c>
      <c r="N72" s="3">
        <v>19.5</v>
      </c>
      <c r="O72" s="3">
        <v>1</v>
      </c>
      <c r="P72" s="3">
        <v>1</v>
      </c>
      <c r="Q72" s="3">
        <v>0.363104916992597</v>
      </c>
      <c r="R72" s="3">
        <v>834302</v>
      </c>
      <c r="S72" s="3">
        <v>1</v>
      </c>
      <c r="T72" s="3" t="s">
        <v>25</v>
      </c>
      <c r="U72" s="3" t="s">
        <v>26</v>
      </c>
      <c r="V72" s="2"/>
      <c r="W72" s="3" t="s">
        <v>27</v>
      </c>
      <c r="X72" s="3" t="s">
        <v>28</v>
      </c>
      <c r="Y72" s="2"/>
    </row>
    <row r="73" spans="1:25" x14ac:dyDescent="0.2">
      <c r="A73" s="1">
        <v>71</v>
      </c>
      <c r="B73" s="3">
        <v>0.5</v>
      </c>
      <c r="C73" s="3">
        <v>19.5</v>
      </c>
      <c r="D73" s="3">
        <v>60.628110499994399</v>
      </c>
      <c r="E73" s="2"/>
      <c r="F73" s="3">
        <v>60.618507249993897</v>
      </c>
      <c r="G73" s="3">
        <v>60.628110499994399</v>
      </c>
      <c r="H73" s="3">
        <v>61.116609666991302</v>
      </c>
      <c r="I73" s="3">
        <v>61.116609666991302</v>
      </c>
      <c r="J73" s="3">
        <v>61.116609666991302</v>
      </c>
      <c r="K73" s="2"/>
      <c r="L73" s="3">
        <v>61.351108125003499</v>
      </c>
      <c r="M73" s="3" t="s">
        <v>29</v>
      </c>
      <c r="N73" s="3">
        <v>-19.5</v>
      </c>
      <c r="O73" s="3">
        <v>0</v>
      </c>
      <c r="P73" s="3">
        <v>0</v>
      </c>
      <c r="Q73" s="3">
        <v>0.230074291990604</v>
      </c>
      <c r="R73" s="3">
        <v>834302</v>
      </c>
      <c r="S73" s="3">
        <v>1</v>
      </c>
      <c r="T73" s="3" t="s">
        <v>25</v>
      </c>
      <c r="U73" s="3" t="s">
        <v>26</v>
      </c>
      <c r="V73" s="2"/>
      <c r="W73" s="3" t="s">
        <v>27</v>
      </c>
      <c r="X73" s="3" t="s">
        <v>28</v>
      </c>
      <c r="Y73" s="2"/>
    </row>
    <row r="74" spans="1:25" x14ac:dyDescent="0.2">
      <c r="A74" s="1">
        <v>72</v>
      </c>
      <c r="B74" s="3">
        <v>0.5</v>
      </c>
      <c r="C74" s="3">
        <v>20</v>
      </c>
      <c r="D74" s="3">
        <v>61.361672999992201</v>
      </c>
      <c r="E74" s="2"/>
      <c r="F74" s="3">
        <v>61.351431082992399</v>
      </c>
      <c r="G74" s="3">
        <v>61.361672999992201</v>
      </c>
      <c r="H74" s="3">
        <v>61.8505460419983</v>
      </c>
      <c r="I74" s="3">
        <v>61.8505460419983</v>
      </c>
      <c r="J74" s="3">
        <v>61.8505460419983</v>
      </c>
      <c r="K74" s="3">
        <v>62.149592999994603</v>
      </c>
      <c r="L74" s="3">
        <v>62.380676417000402</v>
      </c>
      <c r="M74" s="3" t="s">
        <v>29</v>
      </c>
      <c r="N74" s="3">
        <v>-20</v>
      </c>
      <c r="O74" s="3">
        <v>1</v>
      </c>
      <c r="P74" s="3">
        <v>1</v>
      </c>
      <c r="Q74" s="3">
        <v>0.52739662499516304</v>
      </c>
      <c r="R74" s="3">
        <v>834302</v>
      </c>
      <c r="S74" s="3">
        <v>1</v>
      </c>
      <c r="T74" s="3" t="s">
        <v>25</v>
      </c>
      <c r="U74" s="3" t="s">
        <v>26</v>
      </c>
      <c r="V74" s="2"/>
      <c r="W74" s="3" t="s">
        <v>27</v>
      </c>
      <c r="X74" s="3" t="s">
        <v>28</v>
      </c>
      <c r="Y74" s="2"/>
    </row>
    <row r="75" spans="1:25" x14ac:dyDescent="0.2">
      <c r="A75" s="1">
        <v>73</v>
      </c>
      <c r="B75" s="3">
        <v>0.5</v>
      </c>
      <c r="C75" s="3">
        <v>20</v>
      </c>
      <c r="D75" s="3">
        <v>62.389771542002599</v>
      </c>
      <c r="E75" s="2"/>
      <c r="F75" s="3">
        <v>62.381117791999699</v>
      </c>
      <c r="G75" s="3">
        <v>62.389771542002599</v>
      </c>
      <c r="H75" s="3">
        <v>62.878730707991103</v>
      </c>
      <c r="I75" s="3">
        <v>62.878730707991103</v>
      </c>
      <c r="J75" s="3">
        <v>62.883426792002901</v>
      </c>
      <c r="K75" s="3">
        <v>63.166127707998399</v>
      </c>
      <c r="L75" s="3">
        <v>63.336264999990803</v>
      </c>
      <c r="M75" s="3" t="s">
        <v>29</v>
      </c>
      <c r="N75" s="3">
        <v>-20</v>
      </c>
      <c r="O75" s="3">
        <v>1</v>
      </c>
      <c r="P75" s="3">
        <v>1</v>
      </c>
      <c r="Q75" s="3">
        <v>0.45015058398712399</v>
      </c>
      <c r="R75" s="3">
        <v>834302</v>
      </c>
      <c r="S75" s="3">
        <v>1</v>
      </c>
      <c r="T75" s="3" t="s">
        <v>25</v>
      </c>
      <c r="U75" s="3" t="s">
        <v>26</v>
      </c>
      <c r="V75" s="2"/>
      <c r="W75" s="3" t="s">
        <v>27</v>
      </c>
      <c r="X75" s="3" t="s">
        <v>28</v>
      </c>
      <c r="Y75" s="2"/>
    </row>
    <row r="76" spans="1:25" x14ac:dyDescent="0.2">
      <c r="A76" s="1">
        <v>74</v>
      </c>
      <c r="B76" s="3">
        <v>0.5</v>
      </c>
      <c r="C76" s="3">
        <v>20</v>
      </c>
      <c r="D76" s="3">
        <v>63.3448749579984</v>
      </c>
      <c r="E76" s="2"/>
      <c r="F76" s="3">
        <v>63.336634624996798</v>
      </c>
      <c r="G76" s="3">
        <v>63.3448749579984</v>
      </c>
      <c r="H76" s="3">
        <v>63.833338166994501</v>
      </c>
      <c r="I76" s="3">
        <v>63.833338166994501</v>
      </c>
      <c r="J76" s="3">
        <v>63.833338166994501</v>
      </c>
      <c r="K76" s="3">
        <v>64.128752332995703</v>
      </c>
      <c r="L76" s="3">
        <v>64.181027457991206</v>
      </c>
      <c r="M76" s="3" t="s">
        <v>29</v>
      </c>
      <c r="N76" s="3">
        <v>-20</v>
      </c>
      <c r="O76" s="3">
        <v>1</v>
      </c>
      <c r="P76" s="3">
        <v>1</v>
      </c>
      <c r="Q76" s="3">
        <v>0.33870583299722101</v>
      </c>
      <c r="R76" s="3">
        <v>834302</v>
      </c>
      <c r="S76" s="3">
        <v>1</v>
      </c>
      <c r="T76" s="3" t="s">
        <v>25</v>
      </c>
      <c r="U76" s="3" t="s">
        <v>26</v>
      </c>
      <c r="V76" s="2"/>
      <c r="W76" s="3" t="s">
        <v>27</v>
      </c>
      <c r="X76" s="3" t="s">
        <v>28</v>
      </c>
      <c r="Y76" s="2"/>
    </row>
    <row r="77" spans="1:25" x14ac:dyDescent="0.2">
      <c r="A77" s="1">
        <v>75</v>
      </c>
      <c r="B77" s="3">
        <v>0.5</v>
      </c>
      <c r="C77" s="3">
        <v>19.5</v>
      </c>
      <c r="D77" s="3">
        <v>64.188998375000693</v>
      </c>
      <c r="E77" s="2"/>
      <c r="F77" s="3">
        <v>64.181484499989907</v>
      </c>
      <c r="G77" s="3">
        <v>64.188998375000693</v>
      </c>
      <c r="H77" s="3">
        <v>64.678753416999797</v>
      </c>
      <c r="I77" s="3">
        <v>64.678753416999797</v>
      </c>
      <c r="J77" s="3">
        <v>64.682830833000494</v>
      </c>
      <c r="K77" s="2"/>
      <c r="L77" s="3">
        <v>64.952359667004202</v>
      </c>
      <c r="M77" s="3" t="s">
        <v>29</v>
      </c>
      <c r="N77" s="3">
        <v>-19.5</v>
      </c>
      <c r="O77" s="3">
        <v>1</v>
      </c>
      <c r="P77" s="3">
        <v>1</v>
      </c>
      <c r="Q77" s="3">
        <v>0.27108474999840798</v>
      </c>
      <c r="R77" s="3">
        <v>834302</v>
      </c>
      <c r="S77" s="3">
        <v>1</v>
      </c>
      <c r="T77" s="3" t="s">
        <v>25</v>
      </c>
      <c r="U77" s="3" t="s">
        <v>26</v>
      </c>
      <c r="V77" s="2"/>
      <c r="W77" s="3" t="s">
        <v>27</v>
      </c>
      <c r="X77" s="3" t="s">
        <v>28</v>
      </c>
      <c r="Y77" s="2"/>
    </row>
    <row r="78" spans="1:25" x14ac:dyDescent="0.2">
      <c r="A78" s="1">
        <v>76</v>
      </c>
      <c r="B78" s="3">
        <v>0.5</v>
      </c>
      <c r="C78" s="3">
        <v>19.5</v>
      </c>
      <c r="D78" s="3">
        <v>64.961478416997096</v>
      </c>
      <c r="E78" s="2"/>
      <c r="F78" s="3">
        <v>64.952776582998894</v>
      </c>
      <c r="G78" s="3">
        <v>64.961478416997096</v>
      </c>
      <c r="H78" s="3">
        <v>65.450843250000602</v>
      </c>
      <c r="I78" s="3">
        <v>65.450843250000602</v>
      </c>
      <c r="J78" s="3">
        <v>65.450843250000602</v>
      </c>
      <c r="K78" s="3">
        <v>65.749451750001796</v>
      </c>
      <c r="L78" s="3">
        <v>65.764150249990095</v>
      </c>
      <c r="M78" s="3" t="s">
        <v>24</v>
      </c>
      <c r="N78" s="3">
        <v>19.5</v>
      </c>
      <c r="O78" s="3">
        <v>1</v>
      </c>
      <c r="P78" s="3">
        <v>1</v>
      </c>
      <c r="Q78" s="3">
        <v>0.30625299998791899</v>
      </c>
      <c r="R78" s="3">
        <v>834302</v>
      </c>
      <c r="S78" s="3">
        <v>1</v>
      </c>
      <c r="T78" s="3" t="s">
        <v>25</v>
      </c>
      <c r="U78" s="3" t="s">
        <v>26</v>
      </c>
      <c r="V78" s="2"/>
      <c r="W78" s="3" t="s">
        <v>27</v>
      </c>
      <c r="X78" s="3" t="s">
        <v>28</v>
      </c>
      <c r="Y78" s="2"/>
    </row>
    <row r="79" spans="1:25" x14ac:dyDescent="0.2">
      <c r="A79" s="1">
        <v>77</v>
      </c>
      <c r="B79" s="3">
        <v>0.5</v>
      </c>
      <c r="C79" s="3">
        <v>19.5</v>
      </c>
      <c r="D79" s="3">
        <v>65.772131624995396</v>
      </c>
      <c r="E79" s="2"/>
      <c r="F79" s="3">
        <v>65.764566917001503</v>
      </c>
      <c r="G79" s="3">
        <v>65.772131624995396</v>
      </c>
      <c r="H79" s="3">
        <v>66.262038582994094</v>
      </c>
      <c r="I79" s="3">
        <v>66.262038582994094</v>
      </c>
      <c r="J79" s="3">
        <v>66.266024249998694</v>
      </c>
      <c r="K79" s="3">
        <v>66.549557457998205</v>
      </c>
      <c r="L79" s="3">
        <v>66.614033499994605</v>
      </c>
      <c r="M79" s="3" t="s">
        <v>29</v>
      </c>
      <c r="N79" s="3">
        <v>-19.5</v>
      </c>
      <c r="O79" s="3">
        <v>1</v>
      </c>
      <c r="P79" s="3">
        <v>1</v>
      </c>
      <c r="Q79" s="3">
        <v>0.348042833007639</v>
      </c>
      <c r="R79" s="3">
        <v>834302</v>
      </c>
      <c r="S79" s="3">
        <v>1</v>
      </c>
      <c r="T79" s="3" t="s">
        <v>25</v>
      </c>
      <c r="U79" s="3" t="s">
        <v>26</v>
      </c>
      <c r="V79" s="2"/>
      <c r="W79" s="3" t="s">
        <v>27</v>
      </c>
      <c r="X79" s="3" t="s">
        <v>28</v>
      </c>
      <c r="Y79" s="2"/>
    </row>
    <row r="80" spans="1:25" x14ac:dyDescent="0.2">
      <c r="A80" s="1">
        <v>78</v>
      </c>
      <c r="B80" s="3">
        <v>0.5</v>
      </c>
      <c r="C80" s="3">
        <v>19</v>
      </c>
      <c r="D80" s="3">
        <v>66.622312916995696</v>
      </c>
      <c r="E80" s="2"/>
      <c r="F80" s="3">
        <v>66.614445125000202</v>
      </c>
      <c r="G80" s="3">
        <v>66.622312916995696</v>
      </c>
      <c r="H80" s="3">
        <v>67.112128207998495</v>
      </c>
      <c r="I80" s="3">
        <v>67.112128207998495</v>
      </c>
      <c r="J80" s="3">
        <v>67.116512416992904</v>
      </c>
      <c r="K80" s="2"/>
      <c r="L80" s="3">
        <v>67.380987374999705</v>
      </c>
      <c r="M80" s="3" t="s">
        <v>24</v>
      </c>
      <c r="N80" s="3">
        <v>19</v>
      </c>
      <c r="O80" s="3">
        <v>1</v>
      </c>
      <c r="P80" s="3">
        <v>1</v>
      </c>
      <c r="Q80" s="3">
        <v>0.26408062499831397</v>
      </c>
      <c r="R80" s="3">
        <v>834302</v>
      </c>
      <c r="S80" s="3">
        <v>1</v>
      </c>
      <c r="T80" s="3" t="s">
        <v>25</v>
      </c>
      <c r="U80" s="3" t="s">
        <v>26</v>
      </c>
      <c r="V80" s="2"/>
      <c r="W80" s="3" t="s">
        <v>27</v>
      </c>
      <c r="X80" s="3" t="s">
        <v>28</v>
      </c>
      <c r="Y80" s="2"/>
    </row>
    <row r="81" spans="1:25" x14ac:dyDescent="0.2">
      <c r="A81" s="1">
        <v>79</v>
      </c>
      <c r="B81" s="3">
        <v>0.5</v>
      </c>
      <c r="C81" s="3">
        <v>19</v>
      </c>
      <c r="D81" s="3">
        <v>67.389234125003</v>
      </c>
      <c r="E81" s="2"/>
      <c r="F81" s="3">
        <v>67.381406667001997</v>
      </c>
      <c r="G81" s="3">
        <v>67.389234125003</v>
      </c>
      <c r="H81" s="3">
        <v>67.879051707990598</v>
      </c>
      <c r="I81" s="3">
        <v>67.879051707990598</v>
      </c>
      <c r="J81" s="3">
        <v>67.883816749992604</v>
      </c>
      <c r="K81" s="3">
        <v>68.166197999991695</v>
      </c>
      <c r="L81" s="3">
        <v>68.230686666996903</v>
      </c>
      <c r="M81" s="3" t="s">
        <v>24</v>
      </c>
      <c r="N81" s="3">
        <v>19</v>
      </c>
      <c r="O81" s="3">
        <v>0</v>
      </c>
      <c r="P81" s="3">
        <v>0</v>
      </c>
      <c r="Q81" s="3">
        <v>0.346027958992636</v>
      </c>
      <c r="R81" s="3">
        <v>834302</v>
      </c>
      <c r="S81" s="3">
        <v>1</v>
      </c>
      <c r="T81" s="3" t="s">
        <v>25</v>
      </c>
      <c r="U81" s="3" t="s">
        <v>26</v>
      </c>
      <c r="V81" s="2"/>
      <c r="W81" s="3" t="s">
        <v>27</v>
      </c>
      <c r="X81" s="3" t="s">
        <v>28</v>
      </c>
      <c r="Y81" s="2"/>
    </row>
    <row r="82" spans="1:25" x14ac:dyDescent="0.2">
      <c r="A82" s="1">
        <v>80</v>
      </c>
      <c r="B82" s="3">
        <v>0.5</v>
      </c>
      <c r="C82" s="3">
        <v>19.5</v>
      </c>
      <c r="D82" s="3">
        <v>68.238936333000296</v>
      </c>
      <c r="E82" s="2"/>
      <c r="F82" s="3">
        <v>68.231109667001903</v>
      </c>
      <c r="G82" s="3">
        <v>68.238936333000296</v>
      </c>
      <c r="H82" s="3">
        <v>68.728857416994302</v>
      </c>
      <c r="I82" s="3">
        <v>68.728857416994302</v>
      </c>
      <c r="J82" s="3">
        <v>68.733587916998701</v>
      </c>
      <c r="K82" s="3">
        <v>69.0159629169939</v>
      </c>
      <c r="L82" s="3">
        <v>69.081309874993195</v>
      </c>
      <c r="M82" s="3" t="s">
        <v>24</v>
      </c>
      <c r="N82" s="3">
        <v>19.5</v>
      </c>
      <c r="O82" s="3">
        <v>1</v>
      </c>
      <c r="P82" s="1">
        <v>1</v>
      </c>
      <c r="Q82" s="3">
        <v>0.340970207995269</v>
      </c>
      <c r="R82" s="3">
        <v>834302</v>
      </c>
      <c r="S82" s="3">
        <v>1</v>
      </c>
      <c r="T82" s="3" t="s">
        <v>25</v>
      </c>
      <c r="U82" s="3" t="s">
        <v>26</v>
      </c>
      <c r="V82" s="2"/>
      <c r="W82" s="3" t="s">
        <v>27</v>
      </c>
      <c r="X82" s="3" t="s">
        <v>28</v>
      </c>
      <c r="Y82" s="2"/>
    </row>
    <row r="83" spans="1:25" x14ac:dyDescent="0.2">
      <c r="A83" s="1">
        <v>81</v>
      </c>
      <c r="B83" s="3">
        <v>0.5</v>
      </c>
      <c r="C83" s="3">
        <v>19.5</v>
      </c>
      <c r="D83" s="3">
        <v>69.089253124999203</v>
      </c>
      <c r="E83" s="2"/>
      <c r="F83" s="3">
        <v>69.081734082996306</v>
      </c>
      <c r="G83" s="3">
        <v>69.089253124999203</v>
      </c>
      <c r="H83" s="3">
        <v>69.578880499990206</v>
      </c>
      <c r="I83" s="3">
        <v>69.578880499990206</v>
      </c>
      <c r="J83" s="3">
        <v>69.583606582993497</v>
      </c>
      <c r="K83" s="3">
        <v>69.866136124997894</v>
      </c>
      <c r="L83" s="3">
        <v>69.947405291997697</v>
      </c>
      <c r="M83" s="3" t="s">
        <v>29</v>
      </c>
      <c r="N83" s="3">
        <v>-19.5</v>
      </c>
      <c r="O83" s="3">
        <v>0</v>
      </c>
      <c r="P83" s="3">
        <v>0</v>
      </c>
      <c r="Q83" s="3">
        <v>0.36435920800431598</v>
      </c>
      <c r="R83" s="3">
        <v>834302</v>
      </c>
      <c r="S83" s="3">
        <v>1</v>
      </c>
      <c r="T83" s="3" t="s">
        <v>25</v>
      </c>
      <c r="U83" s="3" t="s">
        <v>26</v>
      </c>
      <c r="V83" s="2"/>
      <c r="W83" s="3" t="s">
        <v>27</v>
      </c>
      <c r="X83" s="3" t="s">
        <v>28</v>
      </c>
      <c r="Y83" s="2"/>
    </row>
    <row r="84" spans="1:25" x14ac:dyDescent="0.2">
      <c r="A84" s="1">
        <v>82</v>
      </c>
      <c r="B84" s="3">
        <v>0.5</v>
      </c>
      <c r="C84" s="3">
        <v>20</v>
      </c>
      <c r="D84" s="3">
        <v>69.9554507080029</v>
      </c>
      <c r="E84" s="2"/>
      <c r="F84" s="3">
        <v>69.947824457994997</v>
      </c>
      <c r="G84" s="3">
        <v>69.9554507080029</v>
      </c>
      <c r="H84" s="3">
        <v>70.445498624991203</v>
      </c>
      <c r="I84" s="3">
        <v>70.445498624991203</v>
      </c>
      <c r="J84" s="3">
        <v>70.449725750004305</v>
      </c>
      <c r="K84" s="3">
        <v>70.732838291994995</v>
      </c>
      <c r="L84" s="3">
        <v>70.764257207993097</v>
      </c>
      <c r="M84" s="3" t="s">
        <v>24</v>
      </c>
      <c r="N84" s="3">
        <v>20</v>
      </c>
      <c r="O84" s="3">
        <v>1</v>
      </c>
      <c r="P84" s="1">
        <v>1</v>
      </c>
      <c r="Q84" s="3">
        <v>0.30631662500673001</v>
      </c>
      <c r="R84" s="3">
        <v>834302</v>
      </c>
      <c r="S84" s="3">
        <v>1</v>
      </c>
      <c r="T84" s="3" t="s">
        <v>25</v>
      </c>
      <c r="U84" s="3" t="s">
        <v>26</v>
      </c>
      <c r="V84" s="2"/>
      <c r="W84" s="3" t="s">
        <v>27</v>
      </c>
      <c r="X84" s="3" t="s">
        <v>28</v>
      </c>
      <c r="Y84" s="2"/>
    </row>
    <row r="85" spans="1:25" x14ac:dyDescent="0.2">
      <c r="A85" s="1">
        <v>83</v>
      </c>
      <c r="B85" s="3">
        <v>0.5</v>
      </c>
      <c r="C85" s="3">
        <v>20</v>
      </c>
      <c r="D85" s="3">
        <v>70.772148042000495</v>
      </c>
      <c r="E85" s="2"/>
      <c r="F85" s="3">
        <v>70.764639792003393</v>
      </c>
      <c r="G85" s="3">
        <v>70.772148042000495</v>
      </c>
      <c r="H85" s="3">
        <v>71.262344957998707</v>
      </c>
      <c r="I85" s="3">
        <v>71.262344957998707</v>
      </c>
      <c r="J85" s="3">
        <v>71.266799042001395</v>
      </c>
      <c r="K85" s="3">
        <v>71.550504832994207</v>
      </c>
      <c r="L85" s="3">
        <v>71.614417582997703</v>
      </c>
      <c r="M85" s="3" t="s">
        <v>29</v>
      </c>
      <c r="N85" s="3">
        <v>-20</v>
      </c>
      <c r="O85" s="3">
        <v>1</v>
      </c>
      <c r="P85" s="3">
        <v>1</v>
      </c>
      <c r="Q85" s="3">
        <v>0.34667658401303902</v>
      </c>
      <c r="R85" s="3">
        <v>834302</v>
      </c>
      <c r="S85" s="3">
        <v>1</v>
      </c>
      <c r="T85" s="3" t="s">
        <v>25</v>
      </c>
      <c r="U85" s="3" t="s">
        <v>26</v>
      </c>
      <c r="V85" s="2"/>
      <c r="W85" s="3" t="s">
        <v>27</v>
      </c>
      <c r="X85" s="3" t="s">
        <v>28</v>
      </c>
      <c r="Y85" s="2"/>
    </row>
    <row r="86" spans="1:25" x14ac:dyDescent="0.2">
      <c r="A86" s="1">
        <v>84</v>
      </c>
      <c r="B86" s="3">
        <v>0.5</v>
      </c>
      <c r="C86" s="3">
        <v>20</v>
      </c>
      <c r="D86" s="3">
        <v>71.622857124995804</v>
      </c>
      <c r="E86" s="2"/>
      <c r="F86" s="3">
        <v>71.614921082989895</v>
      </c>
      <c r="G86" s="3">
        <v>71.622857124995804</v>
      </c>
      <c r="H86" s="3">
        <v>72.112207541998899</v>
      </c>
      <c r="I86" s="3">
        <v>72.112207541998899</v>
      </c>
      <c r="J86" s="3">
        <v>72.116571666992996</v>
      </c>
      <c r="K86" s="2"/>
      <c r="L86" s="3">
        <v>72.364514792003305</v>
      </c>
      <c r="M86" s="3" t="s">
        <v>24</v>
      </c>
      <c r="N86" s="3">
        <v>20</v>
      </c>
      <c r="O86" s="3">
        <v>1</v>
      </c>
      <c r="P86" s="3">
        <v>1</v>
      </c>
      <c r="Q86" s="3">
        <v>0.23957158399571199</v>
      </c>
      <c r="R86" s="3">
        <v>834302</v>
      </c>
      <c r="S86" s="3">
        <v>1</v>
      </c>
      <c r="T86" s="3" t="s">
        <v>25</v>
      </c>
      <c r="U86" s="3" t="s">
        <v>26</v>
      </c>
      <c r="V86" s="2"/>
      <c r="W86" s="3" t="s">
        <v>27</v>
      </c>
      <c r="X86" s="3" t="s">
        <v>28</v>
      </c>
      <c r="Y86" s="2"/>
    </row>
    <row r="87" spans="1:25" x14ac:dyDescent="0.2">
      <c r="A87" s="1">
        <v>85</v>
      </c>
      <c r="B87" s="3">
        <v>0.5</v>
      </c>
      <c r="C87" s="3">
        <v>19.5</v>
      </c>
      <c r="D87" s="3">
        <v>72.371998749993494</v>
      </c>
      <c r="E87" s="2"/>
      <c r="F87" s="3">
        <v>72.364963749991205</v>
      </c>
      <c r="G87" s="3">
        <v>72.371998749993494</v>
      </c>
      <c r="H87" s="3">
        <v>72.862526041994002</v>
      </c>
      <c r="I87" s="3">
        <v>72.862526041994002</v>
      </c>
      <c r="J87" s="3">
        <v>72.867411707993597</v>
      </c>
      <c r="K87" s="3">
        <v>73.149698041990604</v>
      </c>
      <c r="L87" s="3">
        <v>73.184265791991507</v>
      </c>
      <c r="M87" s="3" t="s">
        <v>29</v>
      </c>
      <c r="N87" s="3">
        <v>-19.5</v>
      </c>
      <c r="O87" s="3">
        <v>1</v>
      </c>
      <c r="P87" s="3">
        <v>1</v>
      </c>
      <c r="Q87" s="3">
        <v>0.31824350000533702</v>
      </c>
      <c r="R87" s="3">
        <v>834302</v>
      </c>
      <c r="S87" s="3">
        <v>1</v>
      </c>
      <c r="T87" s="3" t="s">
        <v>25</v>
      </c>
      <c r="U87" s="3" t="s">
        <v>26</v>
      </c>
      <c r="V87" s="2"/>
      <c r="W87" s="3" t="s">
        <v>27</v>
      </c>
      <c r="X87" s="3" t="s">
        <v>28</v>
      </c>
      <c r="Y87" s="2"/>
    </row>
    <row r="88" spans="1:25" x14ac:dyDescent="0.2">
      <c r="A88" s="1">
        <v>86</v>
      </c>
      <c r="B88" s="3">
        <v>0.5</v>
      </c>
      <c r="C88" s="3">
        <v>19.5</v>
      </c>
      <c r="D88" s="3">
        <v>73.195535124992603</v>
      </c>
      <c r="E88" s="2"/>
      <c r="F88" s="3">
        <v>73.184624792003902</v>
      </c>
      <c r="G88" s="3">
        <v>73.195535124992603</v>
      </c>
      <c r="H88" s="3">
        <v>73.678948792003197</v>
      </c>
      <c r="I88" s="3">
        <v>73.678948792003197</v>
      </c>
      <c r="J88" s="3">
        <v>73.683335875000907</v>
      </c>
      <c r="K88" s="3">
        <v>73.966268624994001</v>
      </c>
      <c r="L88" s="3">
        <v>74.097682666993904</v>
      </c>
      <c r="M88" s="3" t="s">
        <v>29</v>
      </c>
      <c r="N88" s="3">
        <v>-19.5</v>
      </c>
      <c r="O88" s="3">
        <v>1</v>
      </c>
      <c r="P88" s="3">
        <v>1</v>
      </c>
      <c r="Q88" s="3">
        <v>0.41322166699683299</v>
      </c>
      <c r="R88" s="3">
        <v>834302</v>
      </c>
      <c r="S88" s="3">
        <v>1</v>
      </c>
      <c r="T88" s="3" t="s">
        <v>25</v>
      </c>
      <c r="U88" s="3" t="s">
        <v>26</v>
      </c>
      <c r="V88" s="2"/>
      <c r="W88" s="3" t="s">
        <v>27</v>
      </c>
      <c r="X88" s="3" t="s">
        <v>28</v>
      </c>
      <c r="Y88" s="2"/>
    </row>
    <row r="89" spans="1:25" x14ac:dyDescent="0.2">
      <c r="A89" s="1">
        <v>87</v>
      </c>
      <c r="B89" s="3">
        <v>0.5</v>
      </c>
      <c r="C89" s="3">
        <v>19.5</v>
      </c>
      <c r="D89" s="3">
        <v>74.1059870829922</v>
      </c>
      <c r="E89" s="2"/>
      <c r="F89" s="3">
        <v>74.098080458003096</v>
      </c>
      <c r="G89" s="3">
        <v>74.1059870829922</v>
      </c>
      <c r="H89" s="3">
        <v>74.595599416992599</v>
      </c>
      <c r="I89" s="3">
        <v>74.595599416992599</v>
      </c>
      <c r="J89" s="3">
        <v>74.599811708001695</v>
      </c>
      <c r="K89" s="3">
        <v>74.882856041993406</v>
      </c>
      <c r="L89" s="3">
        <v>74.947868041999797</v>
      </c>
      <c r="M89" s="3" t="s">
        <v>29</v>
      </c>
      <c r="N89" s="3">
        <v>-19.5</v>
      </c>
      <c r="O89" s="3">
        <v>1</v>
      </c>
      <c r="P89" s="3">
        <v>1</v>
      </c>
      <c r="Q89" s="3">
        <v>0.35029312499682402</v>
      </c>
      <c r="R89" s="3">
        <v>834302</v>
      </c>
      <c r="S89" s="3">
        <v>1</v>
      </c>
      <c r="T89" s="3" t="s">
        <v>25</v>
      </c>
      <c r="U89" s="3" t="s">
        <v>26</v>
      </c>
      <c r="V89" s="2"/>
      <c r="W89" s="3" t="s">
        <v>27</v>
      </c>
      <c r="X89" s="3" t="s">
        <v>28</v>
      </c>
      <c r="Y89" s="2"/>
    </row>
    <row r="90" spans="1:25" x14ac:dyDescent="0.2">
      <c r="A90" s="1">
        <v>88</v>
      </c>
      <c r="B90" s="3">
        <v>0.5</v>
      </c>
      <c r="C90" s="3">
        <v>19</v>
      </c>
      <c r="D90" s="3">
        <v>74.955553791995001</v>
      </c>
      <c r="E90" s="2"/>
      <c r="F90" s="3">
        <v>74.948306167003494</v>
      </c>
      <c r="G90" s="3">
        <v>74.955553791995001</v>
      </c>
      <c r="H90" s="3">
        <v>75.445650875000894</v>
      </c>
      <c r="I90" s="3">
        <v>75.445650875000894</v>
      </c>
      <c r="J90" s="3">
        <v>75.450327625003396</v>
      </c>
      <c r="K90" s="2"/>
      <c r="L90" s="3">
        <v>75.697460541996406</v>
      </c>
      <c r="M90" s="3" t="s">
        <v>24</v>
      </c>
      <c r="N90" s="3">
        <v>19</v>
      </c>
      <c r="O90" s="3">
        <v>0</v>
      </c>
      <c r="P90" s="3">
        <v>0</v>
      </c>
      <c r="Q90" s="3">
        <v>0.24847895799030101</v>
      </c>
      <c r="R90" s="3">
        <v>834302</v>
      </c>
      <c r="S90" s="3">
        <v>1</v>
      </c>
      <c r="T90" s="3" t="s">
        <v>25</v>
      </c>
      <c r="U90" s="3" t="s">
        <v>26</v>
      </c>
      <c r="V90" s="2"/>
      <c r="W90" s="3" t="s">
        <v>27</v>
      </c>
      <c r="X90" s="3" t="s">
        <v>28</v>
      </c>
      <c r="Y90" s="2"/>
    </row>
    <row r="91" spans="1:25" x14ac:dyDescent="0.2">
      <c r="A91" s="1">
        <v>89</v>
      </c>
      <c r="B91" s="3">
        <v>0.5</v>
      </c>
      <c r="C91" s="3">
        <v>19.5</v>
      </c>
      <c r="D91" s="3">
        <v>75.705472292000195</v>
      </c>
      <c r="E91" s="2"/>
      <c r="F91" s="3">
        <v>75.6978633749968</v>
      </c>
      <c r="G91" s="3">
        <v>75.705472292000195</v>
      </c>
      <c r="H91" s="3">
        <v>76.195658208002001</v>
      </c>
      <c r="I91" s="3">
        <v>76.195658208002001</v>
      </c>
      <c r="J91" s="3">
        <v>76.200098749992307</v>
      </c>
      <c r="K91" s="3">
        <v>76.483212249993798</v>
      </c>
      <c r="L91" s="3">
        <v>76.568083332997105</v>
      </c>
      <c r="M91" s="3" t="s">
        <v>29</v>
      </c>
      <c r="N91" s="3">
        <v>-19.5</v>
      </c>
      <c r="O91" s="3">
        <v>1</v>
      </c>
      <c r="P91" s="1">
        <v>1</v>
      </c>
      <c r="Q91" s="3">
        <v>0.367296333002741</v>
      </c>
      <c r="R91" s="3">
        <v>834302</v>
      </c>
      <c r="S91" s="3">
        <v>1</v>
      </c>
      <c r="T91" s="3" t="s">
        <v>25</v>
      </c>
      <c r="U91" s="3" t="s">
        <v>26</v>
      </c>
      <c r="V91" s="2"/>
      <c r="W91" s="3" t="s">
        <v>27</v>
      </c>
      <c r="X91" s="3" t="s">
        <v>28</v>
      </c>
      <c r="Y91" s="2"/>
    </row>
    <row r="92" spans="1:25" x14ac:dyDescent="0.2">
      <c r="A92" s="1">
        <v>90</v>
      </c>
      <c r="B92" s="3">
        <v>0.5</v>
      </c>
      <c r="C92" s="3">
        <v>19.5</v>
      </c>
      <c r="D92" s="3">
        <v>76.578444749989998</v>
      </c>
      <c r="E92" s="2"/>
      <c r="F92" s="3">
        <v>76.568517457999405</v>
      </c>
      <c r="G92" s="3">
        <v>76.578444749989998</v>
      </c>
      <c r="H92" s="3">
        <v>77.067374666992706</v>
      </c>
      <c r="I92" s="3">
        <v>77.067374666992706</v>
      </c>
      <c r="J92" s="3">
        <v>77.067374666992706</v>
      </c>
      <c r="K92" s="3">
        <v>77.362344207998802</v>
      </c>
      <c r="L92" s="3">
        <v>77.397848583001206</v>
      </c>
      <c r="M92" s="3" t="s">
        <v>24</v>
      </c>
      <c r="N92" s="3">
        <v>19.5</v>
      </c>
      <c r="O92" s="3">
        <v>1</v>
      </c>
      <c r="P92" s="3">
        <v>1</v>
      </c>
      <c r="Q92" s="3">
        <v>0.323891916996217</v>
      </c>
      <c r="R92" s="3">
        <v>834302</v>
      </c>
      <c r="S92" s="3">
        <v>1</v>
      </c>
      <c r="T92" s="3" t="s">
        <v>25</v>
      </c>
      <c r="U92" s="3" t="s">
        <v>26</v>
      </c>
      <c r="V92" s="2"/>
      <c r="W92" s="3" t="s">
        <v>27</v>
      </c>
      <c r="X92" s="3" t="s">
        <v>28</v>
      </c>
      <c r="Y92" s="2"/>
    </row>
    <row r="93" spans="1:25" x14ac:dyDescent="0.2">
      <c r="A93" s="1">
        <v>91</v>
      </c>
      <c r="B93" s="3">
        <v>0.5</v>
      </c>
      <c r="C93" s="3">
        <v>19.5</v>
      </c>
      <c r="D93" s="3">
        <v>77.406124041997799</v>
      </c>
      <c r="E93" s="2"/>
      <c r="F93" s="3">
        <v>77.398374791999203</v>
      </c>
      <c r="G93" s="3">
        <v>77.406124041997799</v>
      </c>
      <c r="H93" s="3">
        <v>77.895645416996601</v>
      </c>
      <c r="I93" s="3">
        <v>77.895645416996601</v>
      </c>
      <c r="J93" s="3">
        <v>77.899809249996906</v>
      </c>
      <c r="K93" s="2"/>
      <c r="L93" s="3">
        <v>78.131062500004205</v>
      </c>
      <c r="M93" s="3" t="s">
        <v>24</v>
      </c>
      <c r="N93" s="3">
        <v>19.5</v>
      </c>
      <c r="O93" s="3">
        <v>0</v>
      </c>
      <c r="P93" s="3">
        <v>0</v>
      </c>
      <c r="Q93" s="3">
        <v>0.228676708997227</v>
      </c>
      <c r="R93" s="3">
        <v>834302</v>
      </c>
      <c r="S93" s="3">
        <v>1</v>
      </c>
      <c r="T93" s="3" t="s">
        <v>25</v>
      </c>
      <c r="U93" s="3" t="s">
        <v>26</v>
      </c>
      <c r="V93" s="2"/>
      <c r="W93" s="3" t="s">
        <v>27</v>
      </c>
      <c r="X93" s="3" t="s">
        <v>28</v>
      </c>
      <c r="Y93" s="2"/>
    </row>
    <row r="94" spans="1:25" x14ac:dyDescent="0.2">
      <c r="A94" s="1">
        <v>92</v>
      </c>
      <c r="B94" s="3">
        <v>0.5</v>
      </c>
      <c r="C94" s="3">
        <v>20</v>
      </c>
      <c r="D94" s="3">
        <v>78.138960625001403</v>
      </c>
      <c r="E94" s="2"/>
      <c r="F94" s="3">
        <v>78.131488416998806</v>
      </c>
      <c r="G94" s="3">
        <v>78.138960625001403</v>
      </c>
      <c r="H94" s="3">
        <v>78.629006749994005</v>
      </c>
      <c r="I94" s="3">
        <v>78.629006749994005</v>
      </c>
      <c r="J94" s="3">
        <v>78.6335591669922</v>
      </c>
      <c r="K94" s="3">
        <v>78.916553125003702</v>
      </c>
      <c r="L94" s="3">
        <v>79.281037541993996</v>
      </c>
      <c r="M94" s="3" t="s">
        <v>29</v>
      </c>
      <c r="N94" s="3">
        <v>-20</v>
      </c>
      <c r="O94" s="3">
        <v>1</v>
      </c>
      <c r="P94" s="1">
        <v>1</v>
      </c>
      <c r="Q94" s="3">
        <v>0.64999249999527797</v>
      </c>
      <c r="R94" s="3">
        <v>834302</v>
      </c>
      <c r="S94" s="3">
        <v>1</v>
      </c>
      <c r="T94" s="3" t="s">
        <v>25</v>
      </c>
      <c r="U94" s="3" t="s">
        <v>26</v>
      </c>
      <c r="V94" s="2"/>
      <c r="W94" s="3" t="s">
        <v>27</v>
      </c>
      <c r="X94" s="3" t="s">
        <v>28</v>
      </c>
      <c r="Y94" s="2"/>
    </row>
    <row r="95" spans="1:25" x14ac:dyDescent="0.2">
      <c r="A95" s="1">
        <v>93</v>
      </c>
      <c r="B95" s="3">
        <v>0.5</v>
      </c>
      <c r="C95" s="3">
        <v>20</v>
      </c>
      <c r="D95" s="3">
        <v>79.289417374995494</v>
      </c>
      <c r="E95" s="2"/>
      <c r="F95" s="3">
        <v>79.281469249995993</v>
      </c>
      <c r="G95" s="3">
        <v>79.289417374995494</v>
      </c>
      <c r="H95" s="3">
        <v>79.779013708001003</v>
      </c>
      <c r="I95" s="3">
        <v>79.779013708001003</v>
      </c>
      <c r="J95" s="3">
        <v>79.783202374994303</v>
      </c>
      <c r="K95" s="2"/>
      <c r="L95" s="3">
        <v>80.051521957997494</v>
      </c>
      <c r="M95" s="3" t="s">
        <v>29</v>
      </c>
      <c r="N95" s="3">
        <v>-20</v>
      </c>
      <c r="O95" s="3">
        <v>0</v>
      </c>
      <c r="P95" s="3">
        <v>0</v>
      </c>
      <c r="Q95" s="3">
        <v>0.27088204199389998</v>
      </c>
      <c r="R95" s="3">
        <v>834302</v>
      </c>
      <c r="S95" s="3">
        <v>1</v>
      </c>
      <c r="T95" s="3" t="s">
        <v>25</v>
      </c>
      <c r="U95" s="3" t="s">
        <v>26</v>
      </c>
      <c r="V95" s="2"/>
      <c r="W95" s="3" t="s">
        <v>27</v>
      </c>
      <c r="X95" s="3" t="s">
        <v>28</v>
      </c>
      <c r="Y95" s="2"/>
    </row>
    <row r="96" spans="1:25" x14ac:dyDescent="0.2">
      <c r="A96" s="1">
        <v>94</v>
      </c>
      <c r="B96" s="3">
        <v>0.5</v>
      </c>
      <c r="C96" s="3">
        <v>20</v>
      </c>
      <c r="D96" s="3">
        <v>80.062090708001094</v>
      </c>
      <c r="E96" s="2"/>
      <c r="F96" s="3">
        <v>80.051869499991895</v>
      </c>
      <c r="G96" s="3">
        <v>80.062090708001094</v>
      </c>
      <c r="H96" s="3">
        <v>80.551198250002898</v>
      </c>
      <c r="I96" s="3">
        <v>80.551198250002898</v>
      </c>
      <c r="J96" s="3">
        <v>80.551198250002898</v>
      </c>
      <c r="K96" s="3">
        <v>80.849703999992897</v>
      </c>
      <c r="L96" s="3">
        <v>81.017483207993806</v>
      </c>
      <c r="M96" s="3" t="s">
        <v>29</v>
      </c>
      <c r="N96" s="3">
        <v>-20</v>
      </c>
      <c r="O96" s="3">
        <v>1</v>
      </c>
      <c r="P96" s="1">
        <v>1</v>
      </c>
      <c r="Q96" s="3">
        <v>0.46364149999863002</v>
      </c>
      <c r="R96" s="3">
        <v>834302</v>
      </c>
      <c r="S96" s="3">
        <v>1</v>
      </c>
      <c r="T96" s="3" t="s">
        <v>25</v>
      </c>
      <c r="U96" s="3" t="s">
        <v>26</v>
      </c>
      <c r="V96" s="2"/>
      <c r="W96" s="3" t="s">
        <v>27</v>
      </c>
      <c r="X96" s="3" t="s">
        <v>28</v>
      </c>
      <c r="Y96" s="2"/>
    </row>
    <row r="97" spans="1:25" x14ac:dyDescent="0.2">
      <c r="A97" s="1">
        <v>95</v>
      </c>
      <c r="B97" s="3">
        <v>0.5</v>
      </c>
      <c r="C97" s="3">
        <v>20</v>
      </c>
      <c r="D97" s="3">
        <v>81.028903208003598</v>
      </c>
      <c r="E97" s="2"/>
      <c r="F97" s="3">
        <v>81.017821207991801</v>
      </c>
      <c r="G97" s="3">
        <v>81.028903208003598</v>
      </c>
      <c r="H97" s="3">
        <v>81.512431707989904</v>
      </c>
      <c r="I97" s="3">
        <v>81.512431707989904</v>
      </c>
      <c r="J97" s="3">
        <v>81.516657000000095</v>
      </c>
      <c r="K97" s="3">
        <v>81.799748833000194</v>
      </c>
      <c r="L97" s="3">
        <v>81.897677916989807</v>
      </c>
      <c r="M97" s="3" t="s">
        <v>24</v>
      </c>
      <c r="N97" s="3">
        <v>20</v>
      </c>
      <c r="O97" s="3">
        <v>1</v>
      </c>
      <c r="P97" s="3">
        <v>1</v>
      </c>
      <c r="Q97" s="3">
        <v>0.38351833399792701</v>
      </c>
      <c r="R97" s="3">
        <v>834302</v>
      </c>
      <c r="S97" s="3">
        <v>1</v>
      </c>
      <c r="T97" s="3" t="s">
        <v>25</v>
      </c>
      <c r="U97" s="3" t="s">
        <v>26</v>
      </c>
      <c r="V97" s="2"/>
      <c r="W97" s="3" t="s">
        <v>27</v>
      </c>
      <c r="X97" s="3" t="s">
        <v>28</v>
      </c>
      <c r="Y97" s="2"/>
    </row>
    <row r="98" spans="1:25" x14ac:dyDescent="0.2">
      <c r="A98" s="1">
        <v>96</v>
      </c>
      <c r="B98" s="3">
        <v>0.5</v>
      </c>
      <c r="C98" s="3">
        <v>20</v>
      </c>
      <c r="D98" s="3">
        <v>81.904588874997003</v>
      </c>
      <c r="E98" s="2"/>
      <c r="F98" s="3">
        <v>81.8979604579945</v>
      </c>
      <c r="G98" s="3">
        <v>81.904588874997003</v>
      </c>
      <c r="H98" s="3">
        <v>82.395773791999105</v>
      </c>
      <c r="I98" s="3">
        <v>82.395773791999105</v>
      </c>
      <c r="J98" s="3">
        <v>82.399863332990193</v>
      </c>
      <c r="K98" s="2"/>
      <c r="L98" s="3">
        <v>82.614698666991899</v>
      </c>
      <c r="M98" s="3" t="s">
        <v>29</v>
      </c>
      <c r="N98" s="3">
        <v>-20</v>
      </c>
      <c r="O98" s="3">
        <v>1</v>
      </c>
      <c r="P98" s="3">
        <v>1</v>
      </c>
      <c r="Q98" s="3">
        <v>0.205999333004002</v>
      </c>
      <c r="R98" s="3">
        <v>834302</v>
      </c>
      <c r="S98" s="3">
        <v>1</v>
      </c>
      <c r="T98" s="3" t="s">
        <v>25</v>
      </c>
      <c r="U98" s="3" t="s">
        <v>26</v>
      </c>
      <c r="V98" s="2"/>
      <c r="W98" s="3" t="s">
        <v>27</v>
      </c>
      <c r="X98" s="3" t="s">
        <v>28</v>
      </c>
      <c r="Y98" s="2"/>
    </row>
    <row r="99" spans="1:25" x14ac:dyDescent="0.2">
      <c r="A99" s="1">
        <v>97</v>
      </c>
      <c r="B99" s="3">
        <v>0.5</v>
      </c>
      <c r="C99" s="3">
        <v>19.5</v>
      </c>
      <c r="D99" s="3">
        <v>82.622316332999603</v>
      </c>
      <c r="E99" s="2"/>
      <c r="F99" s="3">
        <v>82.615021874997197</v>
      </c>
      <c r="G99" s="3">
        <v>82.622316332999603</v>
      </c>
      <c r="H99" s="3">
        <v>83.112452542001904</v>
      </c>
      <c r="I99" s="3">
        <v>83.112452542001904</v>
      </c>
      <c r="J99" s="3">
        <v>83.116510583000505</v>
      </c>
      <c r="K99" s="3">
        <v>83.399727041993202</v>
      </c>
      <c r="L99" s="3">
        <v>83.431027749989894</v>
      </c>
      <c r="M99" s="3" t="s">
        <v>29</v>
      </c>
      <c r="N99" s="3">
        <v>-19.5</v>
      </c>
      <c r="O99" s="3">
        <v>1</v>
      </c>
      <c r="P99" s="3">
        <v>1</v>
      </c>
      <c r="Q99" s="3">
        <v>0.31074541600537497</v>
      </c>
      <c r="R99" s="3">
        <v>834302</v>
      </c>
      <c r="S99" s="3">
        <v>1</v>
      </c>
      <c r="T99" s="3" t="s">
        <v>25</v>
      </c>
      <c r="U99" s="3" t="s">
        <v>26</v>
      </c>
      <c r="V99" s="2"/>
      <c r="W99" s="3" t="s">
        <v>27</v>
      </c>
      <c r="X99" s="3" t="s">
        <v>28</v>
      </c>
      <c r="Y99" s="2"/>
    </row>
    <row r="100" spans="1:25" x14ac:dyDescent="0.2">
      <c r="A100" s="1">
        <v>98</v>
      </c>
      <c r="B100" s="3">
        <v>0.5</v>
      </c>
      <c r="C100" s="3">
        <v>19.5</v>
      </c>
      <c r="D100" s="3">
        <v>83.438570917001897</v>
      </c>
      <c r="E100" s="2"/>
      <c r="F100" s="3">
        <v>83.431426916999001</v>
      </c>
      <c r="G100" s="3">
        <v>83.438570917001897</v>
      </c>
      <c r="H100" s="3">
        <v>83.929139792002402</v>
      </c>
      <c r="I100" s="3">
        <v>83.929139792002402</v>
      </c>
      <c r="J100" s="3">
        <v>83.933333708002493</v>
      </c>
      <c r="K100" s="3">
        <v>84.216364833002402</v>
      </c>
      <c r="L100" s="3">
        <v>84.247860582996495</v>
      </c>
      <c r="M100" s="3" t="s">
        <v>24</v>
      </c>
      <c r="N100" s="3">
        <v>19.5</v>
      </c>
      <c r="O100" s="3">
        <v>0</v>
      </c>
      <c r="P100" s="3">
        <v>0</v>
      </c>
      <c r="Q100" s="3">
        <v>0.306849125001463</v>
      </c>
      <c r="R100" s="3">
        <v>834302</v>
      </c>
      <c r="S100" s="3">
        <v>1</v>
      </c>
      <c r="T100" s="3" t="s">
        <v>25</v>
      </c>
      <c r="U100" s="3" t="s">
        <v>26</v>
      </c>
      <c r="V100" s="2"/>
      <c r="W100" s="3" t="s">
        <v>27</v>
      </c>
      <c r="X100" s="3" t="s">
        <v>28</v>
      </c>
      <c r="Y100" s="2"/>
    </row>
    <row r="101" spans="1:25" x14ac:dyDescent="0.2">
      <c r="A101" s="1">
        <v>99</v>
      </c>
      <c r="B101" s="3">
        <v>0.5</v>
      </c>
      <c r="C101" s="3">
        <v>20</v>
      </c>
      <c r="D101" s="3">
        <v>84.255797167002996</v>
      </c>
      <c r="E101" s="2"/>
      <c r="F101" s="3">
        <v>84.248277833001296</v>
      </c>
      <c r="G101" s="3">
        <v>84.255797167002996</v>
      </c>
      <c r="H101" s="3">
        <v>84.745892457998707</v>
      </c>
      <c r="I101" s="3">
        <v>84.745892457998707</v>
      </c>
      <c r="J101" s="3">
        <v>84.751092249993206</v>
      </c>
      <c r="K101" s="3">
        <v>85.033476208002</v>
      </c>
      <c r="L101" s="3">
        <v>85.047591249996898</v>
      </c>
      <c r="M101" s="3" t="s">
        <v>24</v>
      </c>
      <c r="N101" s="3">
        <v>20</v>
      </c>
      <c r="O101" s="3">
        <v>0</v>
      </c>
      <c r="P101" s="3">
        <v>0</v>
      </c>
      <c r="Q101" s="3">
        <v>0.29105170800176</v>
      </c>
      <c r="R101" s="3">
        <v>834302</v>
      </c>
      <c r="S101" s="3">
        <v>1</v>
      </c>
      <c r="T101" s="3" t="s">
        <v>25</v>
      </c>
      <c r="U101" s="3" t="s">
        <v>26</v>
      </c>
      <c r="V101" s="2"/>
      <c r="W101" s="3" t="s">
        <v>27</v>
      </c>
      <c r="X101" s="3" t="s">
        <v>28</v>
      </c>
      <c r="Y101" s="2"/>
    </row>
    <row r="103" spans="1:25" x14ac:dyDescent="0.2">
      <c r="M103" s="3" t="s">
        <v>30</v>
      </c>
      <c r="N103">
        <f>ABS(AVERAGE(N82,N84,N91,N94,N96))</f>
        <v>4</v>
      </c>
    </row>
    <row r="104" spans="1:25" x14ac:dyDescent="0.2">
      <c r="M104" s="3" t="s">
        <v>31</v>
      </c>
      <c r="N104">
        <f>COUNTIF(O2:O101,"1")/COUNT(O2:O101)</f>
        <v>0.67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C54D-9163-DD4A-AD52-83A3DF053FE4}">
  <dimension ref="A1"/>
  <sheetViews>
    <sheetView workbookViewId="0">
      <selection activeCell="M5" sqref="M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2025-09-04T15:11:47Z</dcterms:created>
  <dcterms:modified xsi:type="dcterms:W3CDTF">2025-09-04T16:42:02Z</dcterms:modified>
</cp:coreProperties>
</file>
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eshshah/Desktop/psycology lab/data/"/>
    </mc:Choice>
  </mc:AlternateContent>
  <xr:revisionPtr revIDLastSave="0" documentId="13_ncr:1_{980BA044-E470-8D41-97A7-AFDEC6A28640}" xr6:coauthVersionLast="47" xr6:coauthVersionMax="47" xr10:uidLastSave="{00000000-0000-0000-0000-000000000000}"/>
  <bookViews>
    <workbookView xWindow="160" yWindow="640" windowWidth="28480" windowHeight="16060" xr2:uid="{3EE38BAA-52F2-334B-B814-A054E0F3E02A}"/>
  </bookViews>
  <sheets>
    <sheet name="response 1" sheetId="1" r:id="rId1"/>
    <sheet name="response 2" sheetId="2" r:id="rId2"/>
    <sheet name="response 3" sheetId="3" r:id="rId3"/>
    <sheet name="response 4" sheetId="4" r:id="rId4"/>
    <sheet name="analysis" sheetId="5" r:id="rId5"/>
  </sheets>
  <definedNames>
    <definedName name="_xlnm._FilterDatabase" localSheetId="0" hidden="1">'response 1'!$A$1:$AV$1</definedName>
    <definedName name="_xlnm._FilterDatabase" localSheetId="1" hidden="1">'response 2'!$A$1:$AV$1</definedName>
    <definedName name="_xlnm._FilterDatabase" localSheetId="2" hidden="1">'response 3'!$A$1:$AU$1</definedName>
    <definedName name="_xlnm._FilterDatabase" localSheetId="3" hidden="1">'response 4'!$A$1:$AV$1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6" i="1" l="1"/>
  <c r="AI47" i="4"/>
  <c r="AI46" i="4"/>
  <c r="AE47" i="3"/>
  <c r="AE46" i="3"/>
  <c r="AL49" i="2"/>
  <c r="AL48" i="2"/>
  <c r="G46" i="4"/>
  <c r="G45" i="4"/>
  <c r="F47" i="1"/>
  <c r="J47" i="1" s="1"/>
  <c r="F46" i="1"/>
</calcChain>
</file>

<file path=xl/sharedStrings.xml><?xml version="1.0" encoding="utf-8"?>
<sst xmlns="http://schemas.openxmlformats.org/spreadsheetml/2006/main" count="2050" uniqueCount="75">
  <si>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</si>
  <si>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</si>
  <si>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</si>
  <si>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</si>
  <si>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</si>
  <si>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</si>
  <si>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</si>
  <si>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</si>
  <si>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</si>
  <si>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</si>
  <si>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</si>
  <si>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</si>
  <si>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</si>
  <si>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</si>
  <si>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</si>
  <si>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</si>
  <si>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</si>
  <si>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</si>
  <si>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</si>
  <si>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key_resp_2.started</t>
  </si>
  <si>
    <t>ins.stopped</t>
  </si>
  <si>
    <t>key_resp_2.keys</t>
  </si>
  <si>
    <t>key_resp_2.rt</t>
  </si>
  <si>
    <t>key_resp_2.duration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</si>
  <si>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</si>
  <si>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</si>
  <si>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</si>
  <si>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</si>
  <si>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</si>
  <si>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</si>
  <si>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</si>
  <si>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</si>
  <si>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</si>
  <si>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</si>
  <si>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text.stopped</t>
  </si>
  <si>
    <t>thank_you.started</t>
  </si>
  <si>
    <t>text_3.started</t>
  </si>
  <si>
    <t>text_3.stopped</t>
  </si>
  <si>
    <t>thank_you.stopped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</si>
  <si>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</si>
  <si>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</si>
  <si>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</si>
  <si>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</si>
  <si>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</si>
  <si>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</si>
  <si>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</si>
  <si>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</si>
  <si>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</si>
  <si>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</si>
  <si>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2025-08-25_20h53.23.131</t>
  </si>
  <si>
    <t>stroop</t>
  </si>
  <si>
    <t>2025.1.1</t>
  </si>
  <si>
    <t>2025-08-25 20h53.40.534489 +0530</t>
  </si>
  <si>
    <t>BLUE</t>
  </si>
  <si>
    <t>red</t>
  </si>
  <si>
    <t>i</t>
  </si>
  <si>
    <t>r</t>
  </si>
  <si>
    <t>blue</t>
  </si>
  <si>
    <t>C</t>
  </si>
  <si>
    <t>b</t>
  </si>
  <si>
    <t>RED</t>
  </si>
  <si>
    <t>2025-08-25_21h01.10.844</t>
  </si>
  <si>
    <t>2025-08-25 21h01.23.819257 +0530</t>
  </si>
  <si>
    <t>2025-08-25_21h05.32.294</t>
  </si>
  <si>
    <t>2025-08-25 21h05.41.893124 +0530</t>
  </si>
  <si>
    <t>2025-08-25_21h07.34.304</t>
  </si>
  <si>
    <t>2025-08-25 21h07.42.716019 +0530</t>
  </si>
  <si>
    <t>Congruent</t>
  </si>
  <si>
    <t>Incongruent</t>
  </si>
  <si>
    <t>p1</t>
  </si>
  <si>
    <t>p2</t>
  </si>
  <si>
    <t>p3</t>
  </si>
  <si>
    <t>Average Response Time</t>
  </si>
  <si>
    <t>p4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</si>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</sst>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0551-9673-CD44-A5E5-6AB83E369308}">
  <dimension ref="A1:AV47"/>
  <sheetViews>
    <sheetView tabSelected="1" topLeftCell="A39" workbookViewId="0">
      <selection activeCell="E54" sqref="E54"/>
    </sheetView>
  </sheetViews>
  <sheetFormatPr baseColWidth="10" defaultRowHeight="16" x14ac:dyDescent="0.2"/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/>
    </row>
    <row r="2" spans="1:48" x14ac:dyDescent="0.2">
      <c r="A2" s="1" t="s">
        <v>53</v>
      </c>
      <c r="B2" s="3" t="s">
        <v>57</v>
      </c>
      <c r="C2" s="3" t="s">
        <v>58</v>
      </c>
      <c r="D2" s="3" t="s">
        <v>59</v>
      </c>
      <c r="E2" s="3">
        <v>1</v>
      </c>
      <c r="F2" s="3">
        <v>1</v>
      </c>
      <c r="G2" s="3">
        <v>0</v>
      </c>
      <c r="H2" s="3" t="s">
        <v>59</v>
      </c>
      <c r="I2" s="3">
        <v>1</v>
      </c>
      <c r="J2" s="3">
        <v>1.2829019999999201</v>
      </c>
      <c r="K2" s="3" t="s">
        <v>48</v>
      </c>
      <c r="L2" s="3">
        <v>0</v>
      </c>
      <c r="M2" s="3">
        <v>1</v>
      </c>
      <c r="N2" s="3">
        <v>1</v>
      </c>
      <c r="O2" s="3">
        <v>3</v>
      </c>
      <c r="P2" s="3">
        <v>4.5700702080002902</v>
      </c>
      <c r="Q2" s="2"/>
      <c r="R2" s="2"/>
      <c r="S2" s="2"/>
      <c r="T2" s="2"/>
      <c r="U2" s="2"/>
      <c r="V2" s="2"/>
      <c r="W2" s="2"/>
      <c r="X2" s="2"/>
      <c r="Y2" s="3">
        <v>4.5579342080000096</v>
      </c>
      <c r="Z2" s="3">
        <v>4.5700702080002902</v>
      </c>
      <c r="AA2" s="3">
        <v>5.0547792500001396</v>
      </c>
      <c r="AB2" s="3">
        <v>5.0547792500001396</v>
      </c>
      <c r="AC2" s="3">
        <v>5.0547792500001396</v>
      </c>
      <c r="AD2" s="3">
        <v>6.3402997500006704</v>
      </c>
      <c r="AE2" s="3" t="s">
        <v>59</v>
      </c>
      <c r="AF2" s="3">
        <v>1</v>
      </c>
      <c r="AG2" s="3">
        <v>1.2829019999999201</v>
      </c>
      <c r="AH2" s="3" t="s">
        <v>48</v>
      </c>
      <c r="AI2" s="2"/>
      <c r="AJ2" s="2"/>
      <c r="AK2" s="2"/>
      <c r="AL2" s="2"/>
      <c r="AM2" s="2"/>
      <c r="AN2" s="3">
        <v>1</v>
      </c>
      <c r="AO2" s="3">
        <v>1</v>
      </c>
      <c r="AP2" s="3" t="s">
        <v>49</v>
      </c>
      <c r="AQ2" s="3" t="s">
        <v>50</v>
      </c>
      <c r="AR2" s="2"/>
      <c r="AS2" s="3" t="s">
        <v>51</v>
      </c>
      <c r="AT2" s="3">
        <v>119.60828287325999</v>
      </c>
      <c r="AU2" s="3" t="s">
        <v>52</v>
      </c>
      <c r="AV2" s="2"/>
    </row>
    <row r="3" spans="1:48" x14ac:dyDescent="0.2">
      <c r="A3" s="1" t="s">
        <v>60</v>
      </c>
      <c r="B3" s="3" t="s">
        <v>54</v>
      </c>
      <c r="C3" s="3" t="s">
        <v>58</v>
      </c>
      <c r="D3" s="3" t="s">
        <v>56</v>
      </c>
      <c r="E3" s="3">
        <v>2</v>
      </c>
      <c r="F3" s="3">
        <v>2</v>
      </c>
      <c r="G3" s="3">
        <v>0</v>
      </c>
      <c r="H3" s="3" t="s">
        <v>56</v>
      </c>
      <c r="I3" s="3">
        <v>1</v>
      </c>
      <c r="J3" s="3">
        <v>0.99356004099991002</v>
      </c>
      <c r="K3" s="3" t="s">
        <v>48</v>
      </c>
      <c r="L3" s="3">
        <v>0</v>
      </c>
      <c r="M3" s="3">
        <v>2</v>
      </c>
      <c r="N3" s="3">
        <v>2</v>
      </c>
      <c r="O3" s="3">
        <v>0</v>
      </c>
      <c r="P3" s="3">
        <v>6.3592135000008101</v>
      </c>
      <c r="Q3" s="2"/>
      <c r="R3" s="2"/>
      <c r="S3" s="2"/>
      <c r="T3" s="2"/>
      <c r="U3" s="2"/>
      <c r="V3" s="2"/>
      <c r="W3" s="2"/>
      <c r="X3" s="2"/>
      <c r="Y3" s="3">
        <v>6.3477635409999502</v>
      </c>
      <c r="Z3" s="3">
        <v>6.3592135000008101</v>
      </c>
      <c r="AA3" s="3">
        <v>6.84698558300079</v>
      </c>
      <c r="AB3" s="3">
        <v>6.84698558300079</v>
      </c>
      <c r="AC3" s="3">
        <v>6.84698558300079</v>
      </c>
      <c r="AD3" s="3">
        <v>7.8462353750001101</v>
      </c>
      <c r="AE3" s="3" t="s">
        <v>56</v>
      </c>
      <c r="AF3" s="3">
        <v>1</v>
      </c>
      <c r="AG3" s="3">
        <v>0.99356004099991002</v>
      </c>
      <c r="AH3" s="3" t="s">
        <v>48</v>
      </c>
      <c r="AI3" s="2"/>
      <c r="AJ3" s="2"/>
      <c r="AK3" s="2"/>
      <c r="AL3" s="2"/>
      <c r="AM3" s="2"/>
      <c r="AN3" s="3">
        <v>1</v>
      </c>
      <c r="AO3" s="3">
        <v>1</v>
      </c>
      <c r="AP3" s="3" t="s">
        <v>49</v>
      </c>
      <c r="AQ3" s="3" t="s">
        <v>50</v>
      </c>
      <c r="AR3" s="2"/>
      <c r="AS3" s="3" t="s">
        <v>51</v>
      </c>
      <c r="AT3" s="3">
        <v>119.60828287325999</v>
      </c>
      <c r="AU3" s="3" t="s">
        <v>52</v>
      </c>
      <c r="AV3" s="2"/>
    </row>
    <row r="4" spans="1:48" x14ac:dyDescent="0.2">
      <c r="A4" s="1" t="s">
        <v>60</v>
      </c>
      <c r="B4" s="3" t="s">
        <v>54</v>
      </c>
      <c r="C4" s="3" t="s">
        <v>58</v>
      </c>
      <c r="D4" s="3" t="s">
        <v>56</v>
      </c>
      <c r="E4" s="3">
        <v>5</v>
      </c>
      <c r="F4" s="3">
        <v>1</v>
      </c>
      <c r="G4" s="3">
        <v>1</v>
      </c>
      <c r="H4" s="3" t="s">
        <v>56</v>
      </c>
      <c r="I4" s="3">
        <v>1</v>
      </c>
      <c r="J4" s="3">
        <v>1.5681760410007</v>
      </c>
      <c r="K4" s="3" t="s">
        <v>48</v>
      </c>
      <c r="L4" s="3">
        <v>1</v>
      </c>
      <c r="M4" s="3">
        <v>1</v>
      </c>
      <c r="N4" s="3">
        <v>5</v>
      </c>
      <c r="O4" s="3">
        <v>0</v>
      </c>
      <c r="P4" s="3">
        <v>11.1113376250005</v>
      </c>
      <c r="Q4" s="2"/>
      <c r="R4" s="2"/>
      <c r="S4" s="2"/>
      <c r="T4" s="2"/>
      <c r="U4" s="2"/>
      <c r="V4" s="2"/>
      <c r="W4" s="2"/>
      <c r="X4" s="2"/>
      <c r="Y4" s="3">
        <v>11.1007667080003</v>
      </c>
      <c r="Z4" s="3">
        <v>11.1113376250005</v>
      </c>
      <c r="AA4" s="3">
        <v>11.588376250000699</v>
      </c>
      <c r="AB4" s="3">
        <v>11.588376250000699</v>
      </c>
      <c r="AC4" s="3">
        <v>11.588376250000699</v>
      </c>
      <c r="AD4" s="3">
        <v>13.163108749999999</v>
      </c>
      <c r="AE4" s="3" t="s">
        <v>56</v>
      </c>
      <c r="AF4" s="3">
        <v>1</v>
      </c>
      <c r="AG4" s="3">
        <v>1.5681760410007</v>
      </c>
      <c r="AH4" s="3" t="s">
        <v>48</v>
      </c>
      <c r="AI4" s="2"/>
      <c r="AJ4" s="2"/>
      <c r="AK4" s="2"/>
      <c r="AL4" s="2"/>
      <c r="AM4" s="2"/>
      <c r="AN4" s="3">
        <v>1</v>
      </c>
      <c r="AO4" s="3">
        <v>1</v>
      </c>
      <c r="AP4" s="3" t="s">
        <v>49</v>
      </c>
      <c r="AQ4" s="3" t="s">
        <v>50</v>
      </c>
      <c r="AR4" s="2"/>
      <c r="AS4" s="3" t="s">
        <v>51</v>
      </c>
      <c r="AT4" s="3">
        <v>119.60828287325999</v>
      </c>
      <c r="AU4" s="3" t="s">
        <v>52</v>
      </c>
      <c r="AV4" s="2"/>
    </row>
    <row r="5" spans="1:48" x14ac:dyDescent="0.2">
      <c r="A5" s="1" t="s">
        <v>53</v>
      </c>
      <c r="B5" s="3" t="s">
        <v>57</v>
      </c>
      <c r="C5" s="3" t="s">
        <v>58</v>
      </c>
      <c r="D5" s="3" t="s">
        <v>59</v>
      </c>
      <c r="E5" s="3">
        <v>6</v>
      </c>
      <c r="F5" s="3">
        <v>2</v>
      </c>
      <c r="G5" s="3">
        <v>1</v>
      </c>
      <c r="H5" s="3" t="s">
        <v>59</v>
      </c>
      <c r="I5" s="3">
        <v>1</v>
      </c>
      <c r="J5" s="3">
        <v>1.1465975830005799</v>
      </c>
      <c r="K5" s="3" t="s">
        <v>48</v>
      </c>
      <c r="L5" s="3">
        <v>1</v>
      </c>
      <c r="M5" s="3">
        <v>2</v>
      </c>
      <c r="N5" s="3">
        <v>6</v>
      </c>
      <c r="O5" s="3">
        <v>3</v>
      </c>
      <c r="P5" s="3">
        <v>13.191262708000099</v>
      </c>
      <c r="Q5" s="2"/>
      <c r="R5" s="2"/>
      <c r="S5" s="2"/>
      <c r="T5" s="2"/>
      <c r="U5" s="2"/>
      <c r="V5" s="2"/>
      <c r="W5" s="2"/>
      <c r="X5" s="2"/>
      <c r="Y5" s="3">
        <v>13.167057083000101</v>
      </c>
      <c r="Z5" s="3">
        <v>13.191262708000099</v>
      </c>
      <c r="AA5" s="3">
        <v>13.6549168330002</v>
      </c>
      <c r="AB5" s="3">
        <v>13.6549168330002</v>
      </c>
      <c r="AC5" s="3">
        <v>13.6549168330002</v>
      </c>
      <c r="AD5" s="3">
        <v>14.8069077910004</v>
      </c>
      <c r="AE5" s="3" t="s">
        <v>59</v>
      </c>
      <c r="AF5" s="3">
        <v>1</v>
      </c>
      <c r="AG5" s="3">
        <v>1.1465975830005799</v>
      </c>
      <c r="AH5" s="3" t="s">
        <v>48</v>
      </c>
      <c r="AI5" s="2"/>
      <c r="AJ5" s="2"/>
      <c r="AK5" s="2"/>
      <c r="AL5" s="2"/>
      <c r="AM5" s="2"/>
      <c r="AN5" s="3">
        <v>1</v>
      </c>
      <c r="AO5" s="3">
        <v>1</v>
      </c>
      <c r="AP5" s="3" t="s">
        <v>49</v>
      </c>
      <c r="AQ5" s="3" t="s">
        <v>50</v>
      </c>
      <c r="AR5" s="2"/>
      <c r="AS5" s="3" t="s">
        <v>51</v>
      </c>
      <c r="AT5" s="3">
        <v>119.60828287325999</v>
      </c>
      <c r="AU5" s="3" t="s">
        <v>52</v>
      </c>
      <c r="AV5" s="2"/>
    </row>
    <row r="6" spans="1:48" x14ac:dyDescent="0.2">
      <c r="A6" s="1" t="s">
        <v>60</v>
      </c>
      <c r="B6" s="3" t="s">
        <v>54</v>
      </c>
      <c r="C6" s="3" t="s">
        <v>58</v>
      </c>
      <c r="D6" s="3" t="s">
        <v>56</v>
      </c>
      <c r="E6" s="3">
        <v>9</v>
      </c>
      <c r="F6" s="3">
        <v>1</v>
      </c>
      <c r="G6" s="3">
        <v>2</v>
      </c>
      <c r="H6" s="3" t="s">
        <v>56</v>
      </c>
      <c r="I6" s="3">
        <v>1</v>
      </c>
      <c r="J6" s="3">
        <v>1.9760001240001701</v>
      </c>
      <c r="K6" s="3" t="s">
        <v>48</v>
      </c>
      <c r="L6" s="3">
        <v>2</v>
      </c>
      <c r="M6" s="3">
        <v>1</v>
      </c>
      <c r="N6" s="3">
        <v>9</v>
      </c>
      <c r="O6" s="3">
        <v>0</v>
      </c>
      <c r="P6" s="3">
        <v>19.089914916000499</v>
      </c>
      <c r="Q6" s="2"/>
      <c r="R6" s="2"/>
      <c r="S6" s="2"/>
      <c r="T6" s="2"/>
      <c r="U6" s="2"/>
      <c r="V6" s="2"/>
      <c r="W6" s="2"/>
      <c r="X6" s="2"/>
      <c r="Y6" s="3">
        <v>19.078419458000099</v>
      </c>
      <c r="Z6" s="3">
        <v>19.089914916000499</v>
      </c>
      <c r="AA6" s="3">
        <v>19.5715937080004</v>
      </c>
      <c r="AB6" s="3">
        <v>19.5715937080004</v>
      </c>
      <c r="AC6" s="3">
        <v>19.5715937080004</v>
      </c>
      <c r="AD6" s="3">
        <v>21.557558125000501</v>
      </c>
      <c r="AE6" s="3" t="s">
        <v>56</v>
      </c>
      <c r="AF6" s="3">
        <v>1</v>
      </c>
      <c r="AG6" s="3">
        <v>1.9760001240001701</v>
      </c>
      <c r="AH6" s="3" t="s">
        <v>48</v>
      </c>
      <c r="AI6" s="3">
        <v>21.574956083</v>
      </c>
      <c r="AJ6" s="2"/>
      <c r="AK6" s="2"/>
      <c r="AL6" s="2"/>
      <c r="AM6" s="2"/>
      <c r="AN6" s="3">
        <v>1</v>
      </c>
      <c r="AO6" s="3">
        <v>1</v>
      </c>
      <c r="AP6" s="3" t="s">
        <v>49</v>
      </c>
      <c r="AQ6" s="3" t="s">
        <v>50</v>
      </c>
      <c r="AR6" s="2"/>
      <c r="AS6" s="3" t="s">
        <v>51</v>
      </c>
      <c r="AT6" s="3">
        <v>119.60828287325999</v>
      </c>
      <c r="AU6" s="3" t="s">
        <v>52</v>
      </c>
      <c r="AV6" s="2"/>
    </row>
    <row r="7" spans="1:48" x14ac:dyDescent="0.2">
      <c r="A7" s="1" t="s">
        <v>53</v>
      </c>
      <c r="B7" s="3" t="s">
        <v>57</v>
      </c>
      <c r="C7" s="3" t="s">
        <v>58</v>
      </c>
      <c r="D7" s="3" t="s">
        <v>59</v>
      </c>
      <c r="E7" s="3">
        <v>10</v>
      </c>
      <c r="F7" s="3">
        <v>2</v>
      </c>
      <c r="G7" s="3">
        <v>2</v>
      </c>
      <c r="H7" s="3" t="s">
        <v>59</v>
      </c>
      <c r="I7" s="3">
        <v>1</v>
      </c>
      <c r="J7" s="3">
        <v>0.79452883300018595</v>
      </c>
      <c r="K7" s="3" t="s">
        <v>48</v>
      </c>
      <c r="L7" s="3">
        <v>2</v>
      </c>
      <c r="M7" s="3">
        <v>2</v>
      </c>
      <c r="N7" s="3">
        <v>10</v>
      </c>
      <c r="O7" s="3">
        <v>3</v>
      </c>
      <c r="P7" s="3">
        <v>21.574956083</v>
      </c>
      <c r="Q7" s="2"/>
      <c r="R7" s="2"/>
      <c r="S7" s="2"/>
      <c r="T7" s="2"/>
      <c r="U7" s="2"/>
      <c r="V7" s="2"/>
      <c r="W7" s="2"/>
      <c r="X7" s="2"/>
      <c r="Y7" s="3">
        <v>21.563289874999999</v>
      </c>
      <c r="Z7" s="3">
        <v>21.574956083</v>
      </c>
      <c r="AA7" s="3">
        <v>22.0551221660007</v>
      </c>
      <c r="AB7" s="3">
        <v>22.0551221660007</v>
      </c>
      <c r="AC7" s="3">
        <v>22.0551221660007</v>
      </c>
      <c r="AD7" s="3">
        <v>22.857609166000699</v>
      </c>
      <c r="AE7" s="3" t="s">
        <v>59</v>
      </c>
      <c r="AF7" s="3">
        <v>1</v>
      </c>
      <c r="AG7" s="3">
        <v>0.79452883300018595</v>
      </c>
      <c r="AH7" s="3" t="s">
        <v>48</v>
      </c>
      <c r="AI7" s="2"/>
      <c r="AJ7" s="2"/>
      <c r="AK7" s="2"/>
      <c r="AL7" s="2"/>
      <c r="AM7" s="2"/>
      <c r="AN7" s="3">
        <v>1</v>
      </c>
      <c r="AO7" s="3">
        <v>1</v>
      </c>
      <c r="AP7" s="3" t="s">
        <v>49</v>
      </c>
      <c r="AQ7" s="3" t="s">
        <v>50</v>
      </c>
      <c r="AR7" s="2"/>
      <c r="AS7" s="3" t="s">
        <v>51</v>
      </c>
      <c r="AT7" s="3">
        <v>119.60828287325999</v>
      </c>
      <c r="AU7" s="3" t="s">
        <v>52</v>
      </c>
      <c r="AV7" s="2"/>
    </row>
    <row r="8" spans="1:48" x14ac:dyDescent="0.2">
      <c r="A8" s="1" t="s">
        <v>53</v>
      </c>
      <c r="B8" s="3" t="s">
        <v>57</v>
      </c>
      <c r="C8" s="3" t="s">
        <v>58</v>
      </c>
      <c r="D8" s="3" t="s">
        <v>59</v>
      </c>
      <c r="E8" s="3">
        <v>12</v>
      </c>
      <c r="F8" s="3">
        <v>0</v>
      </c>
      <c r="G8" s="3">
        <v>3</v>
      </c>
      <c r="H8" s="3" t="s">
        <v>59</v>
      </c>
      <c r="I8" s="3">
        <v>1</v>
      </c>
      <c r="J8" s="3">
        <v>1.26476608299981</v>
      </c>
      <c r="K8" s="3" t="s">
        <v>48</v>
      </c>
      <c r="L8" s="3">
        <v>3</v>
      </c>
      <c r="M8" s="3">
        <v>0</v>
      </c>
      <c r="N8" s="3">
        <v>12</v>
      </c>
      <c r="O8" s="3">
        <v>3</v>
      </c>
      <c r="P8" s="3">
        <v>25.006925583000299</v>
      </c>
      <c r="Q8" s="2"/>
      <c r="R8" s="2"/>
      <c r="S8" s="2"/>
      <c r="T8" s="2"/>
      <c r="U8" s="2"/>
      <c r="V8" s="2"/>
      <c r="W8" s="2"/>
      <c r="X8" s="2"/>
      <c r="Y8" s="3">
        <v>24.995487625000401</v>
      </c>
      <c r="Z8" s="3">
        <v>25.006925583000299</v>
      </c>
      <c r="AA8" s="3">
        <v>25.504939166000401</v>
      </c>
      <c r="AB8" s="3">
        <v>25.504939166000401</v>
      </c>
      <c r="AC8" s="3">
        <v>25.504939166000401</v>
      </c>
      <c r="AD8" s="3">
        <v>26.7739361250005</v>
      </c>
      <c r="AE8" s="3" t="s">
        <v>59</v>
      </c>
      <c r="AF8" s="3">
        <v>1</v>
      </c>
      <c r="AG8" s="3">
        <v>1.26476608299981</v>
      </c>
      <c r="AH8" s="3" t="s">
        <v>48</v>
      </c>
      <c r="AI8" s="2"/>
      <c r="AJ8" s="2"/>
      <c r="AK8" s="2"/>
      <c r="AL8" s="2"/>
      <c r="AM8" s="2"/>
      <c r="AN8" s="3">
        <v>1</v>
      </c>
      <c r="AO8" s="3">
        <v>1</v>
      </c>
      <c r="AP8" s="3" t="s">
        <v>49</v>
      </c>
      <c r="AQ8" s="3" t="s">
        <v>50</v>
      </c>
      <c r="AR8" s="2"/>
      <c r="AS8" s="3" t="s">
        <v>51</v>
      </c>
      <c r="AT8" s="3">
        <v>119.60828287325999</v>
      </c>
      <c r="AU8" s="3" t="s">
        <v>52</v>
      </c>
      <c r="AV8" s="2"/>
    </row>
    <row r="9" spans="1:48" x14ac:dyDescent="0.2">
      <c r="A9" s="1" t="s">
        <v>60</v>
      </c>
      <c r="B9" s="3" t="s">
        <v>54</v>
      </c>
      <c r="C9" s="3" t="s">
        <v>58</v>
      </c>
      <c r="D9" s="3" t="s">
        <v>56</v>
      </c>
      <c r="E9" s="3">
        <v>15</v>
      </c>
      <c r="F9" s="3">
        <v>3</v>
      </c>
      <c r="G9" s="3">
        <v>3</v>
      </c>
      <c r="H9" s="3" t="s">
        <v>56</v>
      </c>
      <c r="I9" s="3">
        <v>1</v>
      </c>
      <c r="J9" s="3">
        <v>1.08056312499957</v>
      </c>
      <c r="K9" s="3" t="s">
        <v>48</v>
      </c>
      <c r="L9" s="3">
        <v>3</v>
      </c>
      <c r="M9" s="3">
        <v>3</v>
      </c>
      <c r="N9" s="3">
        <v>15</v>
      </c>
      <c r="O9" s="3">
        <v>0</v>
      </c>
      <c r="P9" s="3">
        <v>29.905336833000501</v>
      </c>
      <c r="Q9" s="2"/>
      <c r="R9" s="2"/>
      <c r="S9" s="2"/>
      <c r="T9" s="2"/>
      <c r="U9" s="2"/>
      <c r="V9" s="2"/>
      <c r="W9" s="2"/>
      <c r="X9" s="2"/>
      <c r="Y9" s="3">
        <v>29.880700333000298</v>
      </c>
      <c r="Z9" s="3">
        <v>29.905336833000501</v>
      </c>
      <c r="AA9" s="3">
        <v>30.3710761250004</v>
      </c>
      <c r="AB9" s="3">
        <v>30.3710761250004</v>
      </c>
      <c r="AC9" s="3">
        <v>30.3710761250004</v>
      </c>
      <c r="AD9" s="3">
        <v>31.4568533330003</v>
      </c>
      <c r="AE9" s="3" t="s">
        <v>56</v>
      </c>
      <c r="AF9" s="3">
        <v>1</v>
      </c>
      <c r="AG9" s="3">
        <v>1.08056312499957</v>
      </c>
      <c r="AH9" s="3" t="s">
        <v>48</v>
      </c>
      <c r="AI9" s="2"/>
      <c r="AJ9" s="2"/>
      <c r="AK9" s="2"/>
      <c r="AL9" s="2"/>
      <c r="AM9" s="2"/>
      <c r="AN9" s="3">
        <v>1</v>
      </c>
      <c r="AO9" s="3">
        <v>1</v>
      </c>
      <c r="AP9" s="3" t="s">
        <v>49</v>
      </c>
      <c r="AQ9" s="3" t="s">
        <v>50</v>
      </c>
      <c r="AR9" s="2"/>
      <c r="AS9" s="3" t="s">
        <v>51</v>
      </c>
      <c r="AT9" s="3">
        <v>119.60828287325999</v>
      </c>
      <c r="AU9" s="3" t="s">
        <v>52</v>
      </c>
      <c r="AV9" s="2"/>
    </row>
    <row r="10" spans="1:48" x14ac:dyDescent="0.2">
      <c r="A10" s="1" t="s">
        <v>53</v>
      </c>
      <c r="B10" s="3" t="s">
        <v>57</v>
      </c>
      <c r="C10" s="3" t="s">
        <v>58</v>
      </c>
      <c r="D10" s="3" t="s">
        <v>59</v>
      </c>
      <c r="E10" s="3">
        <v>16</v>
      </c>
      <c r="F10" s="3">
        <v>0</v>
      </c>
      <c r="G10" s="3">
        <v>4</v>
      </c>
      <c r="H10" s="3" t="s">
        <v>59</v>
      </c>
      <c r="I10" s="3">
        <v>1</v>
      </c>
      <c r="J10" s="3">
        <v>0.95379850000063005</v>
      </c>
      <c r="K10" s="3" t="s">
        <v>48</v>
      </c>
      <c r="L10" s="3">
        <v>4</v>
      </c>
      <c r="M10" s="3">
        <v>0</v>
      </c>
      <c r="N10" s="3">
        <v>16</v>
      </c>
      <c r="O10" s="3">
        <v>3</v>
      </c>
      <c r="P10" s="3">
        <v>31.472511625000202</v>
      </c>
      <c r="Q10" s="2"/>
      <c r="R10" s="2"/>
      <c r="S10" s="2"/>
      <c r="T10" s="2"/>
      <c r="U10" s="2"/>
      <c r="V10" s="2"/>
      <c r="W10" s="2"/>
      <c r="X10" s="2"/>
      <c r="Y10" s="3">
        <v>31.461660250000001</v>
      </c>
      <c r="Z10" s="3">
        <v>31.472511625000202</v>
      </c>
      <c r="AA10" s="3">
        <v>31.954722875000702</v>
      </c>
      <c r="AB10" s="3">
        <v>31.954722875000702</v>
      </c>
      <c r="AC10" s="3">
        <v>31.954722875000702</v>
      </c>
      <c r="AD10" s="3">
        <v>32.911970957999998</v>
      </c>
      <c r="AE10" s="3" t="s">
        <v>59</v>
      </c>
      <c r="AF10" s="3">
        <v>1</v>
      </c>
      <c r="AG10" s="3">
        <v>0.95379850000063005</v>
      </c>
      <c r="AH10" s="3" t="s">
        <v>48</v>
      </c>
      <c r="AI10" s="2"/>
      <c r="AJ10" s="2"/>
      <c r="AK10" s="2"/>
      <c r="AL10" s="2"/>
      <c r="AM10" s="2"/>
      <c r="AN10" s="3">
        <v>1</v>
      </c>
      <c r="AO10" s="3">
        <v>1</v>
      </c>
      <c r="AP10" s="3" t="s">
        <v>49</v>
      </c>
      <c r="AQ10" s="3" t="s">
        <v>50</v>
      </c>
      <c r="AR10" s="2"/>
      <c r="AS10" s="3" t="s">
        <v>51</v>
      </c>
      <c r="AT10" s="3">
        <v>119.60828287325999</v>
      </c>
      <c r="AU10" s="3" t="s">
        <v>52</v>
      </c>
      <c r="AV10" s="2"/>
    </row>
    <row r="11" spans="1:48" x14ac:dyDescent="0.2">
      <c r="A11" s="1" t="s">
        <v>60</v>
      </c>
      <c r="B11" s="3" t="s">
        <v>54</v>
      </c>
      <c r="C11" s="3" t="s">
        <v>58</v>
      </c>
      <c r="D11" s="3" t="s">
        <v>56</v>
      </c>
      <c r="E11" s="3">
        <v>17</v>
      </c>
      <c r="F11" s="3">
        <v>1</v>
      </c>
      <c r="G11" s="3">
        <v>4</v>
      </c>
      <c r="H11" s="3" t="s">
        <v>56</v>
      </c>
      <c r="I11" s="3">
        <v>1</v>
      </c>
      <c r="J11" s="3">
        <v>1.8480956249995899</v>
      </c>
      <c r="K11" s="3" t="s">
        <v>48</v>
      </c>
      <c r="L11" s="3">
        <v>4</v>
      </c>
      <c r="M11" s="3">
        <v>1</v>
      </c>
      <c r="N11" s="3">
        <v>17</v>
      </c>
      <c r="O11" s="3">
        <v>0</v>
      </c>
      <c r="P11" s="3">
        <v>32.927601875000597</v>
      </c>
      <c r="Q11" s="2"/>
      <c r="R11" s="2"/>
      <c r="S11" s="2"/>
      <c r="T11" s="2"/>
      <c r="U11" s="2"/>
      <c r="V11" s="2"/>
      <c r="W11" s="2"/>
      <c r="X11" s="2"/>
      <c r="Y11" s="3">
        <v>32.916227915999997</v>
      </c>
      <c r="Z11" s="3">
        <v>32.927601875000597</v>
      </c>
      <c r="AA11" s="3">
        <v>33.422576833000697</v>
      </c>
      <c r="AB11" s="3">
        <v>33.422576833000697</v>
      </c>
      <c r="AC11" s="3">
        <v>33.422576833000697</v>
      </c>
      <c r="AD11" s="3">
        <v>35.274534583000801</v>
      </c>
      <c r="AE11" s="3" t="s">
        <v>56</v>
      </c>
      <c r="AF11" s="3">
        <v>1</v>
      </c>
      <c r="AG11" s="3">
        <v>1.8480956249995899</v>
      </c>
      <c r="AH11" s="3" t="s">
        <v>48</v>
      </c>
      <c r="AI11" s="2"/>
      <c r="AJ11" s="2"/>
      <c r="AK11" s="2"/>
      <c r="AL11" s="2"/>
      <c r="AM11" s="2"/>
      <c r="AN11" s="3">
        <v>1</v>
      </c>
      <c r="AO11" s="3">
        <v>1</v>
      </c>
      <c r="AP11" s="3" t="s">
        <v>49</v>
      </c>
      <c r="AQ11" s="3" t="s">
        <v>50</v>
      </c>
      <c r="AR11" s="2"/>
      <c r="AS11" s="3" t="s">
        <v>51</v>
      </c>
      <c r="AT11" s="3">
        <v>119.60828287325999</v>
      </c>
      <c r="AU11" s="3" t="s">
        <v>52</v>
      </c>
      <c r="AV11" s="2"/>
    </row>
    <row r="12" spans="1:48" x14ac:dyDescent="0.2">
      <c r="A12" s="1" t="s">
        <v>53</v>
      </c>
      <c r="B12" s="3" t="s">
        <v>57</v>
      </c>
      <c r="C12" s="3" t="s">
        <v>58</v>
      </c>
      <c r="D12" s="3" t="s">
        <v>59</v>
      </c>
      <c r="E12" s="3">
        <v>20</v>
      </c>
      <c r="F12" s="3">
        <v>0</v>
      </c>
      <c r="G12" s="3">
        <v>5</v>
      </c>
      <c r="H12" s="3" t="s">
        <v>59</v>
      </c>
      <c r="I12" s="3">
        <v>1</v>
      </c>
      <c r="J12" s="3">
        <v>0.83210733300074902</v>
      </c>
      <c r="K12" s="3" t="s">
        <v>48</v>
      </c>
      <c r="L12" s="3">
        <v>5</v>
      </c>
      <c r="M12" s="3">
        <v>0</v>
      </c>
      <c r="N12" s="3">
        <v>20</v>
      </c>
      <c r="O12" s="3">
        <v>3</v>
      </c>
      <c r="P12" s="3">
        <v>38.220972291000201</v>
      </c>
      <c r="Q12" s="2"/>
      <c r="R12" s="2"/>
      <c r="S12" s="2"/>
      <c r="T12" s="2"/>
      <c r="U12" s="2"/>
      <c r="V12" s="2"/>
      <c r="W12" s="2"/>
      <c r="X12" s="2"/>
      <c r="Y12" s="3">
        <v>38.208645416000799</v>
      </c>
      <c r="Z12" s="3">
        <v>38.220972291000201</v>
      </c>
      <c r="AA12" s="3">
        <v>38.705550958000501</v>
      </c>
      <c r="AB12" s="3">
        <v>38.705550958000501</v>
      </c>
      <c r="AC12" s="3">
        <v>38.705550958000501</v>
      </c>
      <c r="AD12" s="3">
        <v>39.540533666000599</v>
      </c>
      <c r="AE12" s="3" t="s">
        <v>59</v>
      </c>
      <c r="AF12" s="3">
        <v>1</v>
      </c>
      <c r="AG12" s="3">
        <v>0.83210733300074902</v>
      </c>
      <c r="AH12" s="3" t="s">
        <v>48</v>
      </c>
      <c r="AI12" s="2"/>
      <c r="AJ12" s="2"/>
      <c r="AK12" s="2"/>
      <c r="AL12" s="2"/>
      <c r="AM12" s="2"/>
      <c r="AN12" s="3">
        <v>1</v>
      </c>
      <c r="AO12" s="3">
        <v>1</v>
      </c>
      <c r="AP12" s="3" t="s">
        <v>49</v>
      </c>
      <c r="AQ12" s="3" t="s">
        <v>50</v>
      </c>
      <c r="AR12" s="2"/>
      <c r="AS12" s="3" t="s">
        <v>51</v>
      </c>
      <c r="AT12" s="3">
        <v>119.60828287325999</v>
      </c>
      <c r="AU12" s="3" t="s">
        <v>52</v>
      </c>
      <c r="AV12" s="2"/>
    </row>
    <row r="13" spans="1:48" x14ac:dyDescent="0.2">
      <c r="A13" s="1" t="s">
        <v>60</v>
      </c>
      <c r="B13" s="3" t="s">
        <v>54</v>
      </c>
      <c r="C13" s="3" t="s">
        <v>58</v>
      </c>
      <c r="D13" s="3" t="s">
        <v>56</v>
      </c>
      <c r="E13" s="3">
        <v>23</v>
      </c>
      <c r="F13" s="3">
        <v>3</v>
      </c>
      <c r="G13" s="3">
        <v>5</v>
      </c>
      <c r="H13" s="3" t="s">
        <v>56</v>
      </c>
      <c r="I13" s="3">
        <v>1</v>
      </c>
      <c r="J13" s="3">
        <v>0.84639433299980704</v>
      </c>
      <c r="K13" s="3" t="s">
        <v>48</v>
      </c>
      <c r="L13" s="3">
        <v>5</v>
      </c>
      <c r="M13" s="3">
        <v>3</v>
      </c>
      <c r="N13" s="3">
        <v>23</v>
      </c>
      <c r="O13" s="3">
        <v>0</v>
      </c>
      <c r="P13" s="3">
        <v>42.369835333000097</v>
      </c>
      <c r="Q13" s="2"/>
      <c r="R13" s="2"/>
      <c r="S13" s="2"/>
      <c r="T13" s="2"/>
      <c r="U13" s="2"/>
      <c r="V13" s="2"/>
      <c r="W13" s="2"/>
      <c r="X13" s="2"/>
      <c r="Y13" s="3">
        <v>42.3582974999999</v>
      </c>
      <c r="Z13" s="3">
        <v>42.369835333000097</v>
      </c>
      <c r="AA13" s="3">
        <v>42.855228750000599</v>
      </c>
      <c r="AB13" s="3">
        <v>42.855228750000599</v>
      </c>
      <c r="AC13" s="3">
        <v>42.855228750000599</v>
      </c>
      <c r="AD13" s="3">
        <v>43.707138790999998</v>
      </c>
      <c r="AE13" s="3" t="s">
        <v>56</v>
      </c>
      <c r="AF13" s="3">
        <v>1</v>
      </c>
      <c r="AG13" s="3">
        <v>0.84639433299980704</v>
      </c>
      <c r="AH13" s="3" t="s">
        <v>48</v>
      </c>
      <c r="AI13" s="2"/>
      <c r="AJ13" s="2"/>
      <c r="AK13" s="2"/>
      <c r="AL13" s="2"/>
      <c r="AM13" s="2"/>
      <c r="AN13" s="3">
        <v>1</v>
      </c>
      <c r="AO13" s="3">
        <v>1</v>
      </c>
      <c r="AP13" s="3" t="s">
        <v>49</v>
      </c>
      <c r="AQ13" s="3" t="s">
        <v>50</v>
      </c>
      <c r="AR13" s="2"/>
      <c r="AS13" s="3" t="s">
        <v>51</v>
      </c>
      <c r="AT13" s="3">
        <v>119.60828287325999</v>
      </c>
      <c r="AU13" s="3" t="s">
        <v>52</v>
      </c>
      <c r="AV13" s="2"/>
    </row>
    <row r="14" spans="1:48" x14ac:dyDescent="0.2">
      <c r="A14" s="1" t="s">
        <v>53</v>
      </c>
      <c r="B14" s="3" t="s">
        <v>57</v>
      </c>
      <c r="C14" s="3" t="s">
        <v>58</v>
      </c>
      <c r="D14" s="3" t="s">
        <v>59</v>
      </c>
      <c r="E14" s="3">
        <v>24</v>
      </c>
      <c r="F14" s="3">
        <v>0</v>
      </c>
      <c r="G14" s="3">
        <v>6</v>
      </c>
      <c r="H14" s="3" t="s">
        <v>59</v>
      </c>
      <c r="I14" s="3">
        <v>1</v>
      </c>
      <c r="J14" s="3">
        <v>0.74539033299970503</v>
      </c>
      <c r="K14" s="3" t="s">
        <v>48</v>
      </c>
      <c r="L14" s="3">
        <v>6</v>
      </c>
      <c r="M14" s="3">
        <v>0</v>
      </c>
      <c r="N14" s="3">
        <v>24</v>
      </c>
      <c r="O14" s="3">
        <v>3</v>
      </c>
      <c r="P14" s="3">
        <v>43.7234511660008</v>
      </c>
      <c r="Q14" s="2"/>
      <c r="R14" s="2"/>
      <c r="S14" s="2"/>
      <c r="T14" s="2"/>
      <c r="U14" s="2"/>
      <c r="V14" s="2"/>
      <c r="W14" s="2"/>
      <c r="X14" s="2"/>
      <c r="Y14" s="3">
        <v>43.712150708000102</v>
      </c>
      <c r="Z14" s="3">
        <v>43.7234511660008</v>
      </c>
      <c r="AA14" s="3">
        <v>44.205284915999997</v>
      </c>
      <c r="AB14" s="3">
        <v>44.205284915999997</v>
      </c>
      <c r="AC14" s="3">
        <v>44.205284915999997</v>
      </c>
      <c r="AD14" s="3">
        <v>44.957702665999904</v>
      </c>
      <c r="AE14" s="3" t="s">
        <v>59</v>
      </c>
      <c r="AF14" s="3">
        <v>1</v>
      </c>
      <c r="AG14" s="3">
        <v>0.74539033299970503</v>
      </c>
      <c r="AH14" s="3" t="s">
        <v>48</v>
      </c>
      <c r="AI14" s="2"/>
      <c r="AJ14" s="2"/>
      <c r="AK14" s="2"/>
      <c r="AL14" s="2"/>
      <c r="AM14" s="2"/>
      <c r="AN14" s="3">
        <v>1</v>
      </c>
      <c r="AO14" s="3">
        <v>1</v>
      </c>
      <c r="AP14" s="3" t="s">
        <v>49</v>
      </c>
      <c r="AQ14" s="3" t="s">
        <v>50</v>
      </c>
      <c r="AR14" s="2"/>
      <c r="AS14" s="3" t="s">
        <v>51</v>
      </c>
      <c r="AT14" s="3">
        <v>119.60828287325999</v>
      </c>
      <c r="AU14" s="3" t="s">
        <v>52</v>
      </c>
      <c r="AV14" s="2"/>
    </row>
    <row r="15" spans="1:48" x14ac:dyDescent="0.2">
      <c r="A15" s="1" t="s">
        <v>60</v>
      </c>
      <c r="B15" s="3" t="s">
        <v>54</v>
      </c>
      <c r="C15" s="3" t="s">
        <v>58</v>
      </c>
      <c r="D15" s="3" t="s">
        <v>56</v>
      </c>
      <c r="E15" s="3">
        <v>26</v>
      </c>
      <c r="F15" s="3">
        <v>2</v>
      </c>
      <c r="G15" s="3">
        <v>6</v>
      </c>
      <c r="H15" s="3" t="s">
        <v>56</v>
      </c>
      <c r="I15" s="3">
        <v>1</v>
      </c>
      <c r="J15" s="3">
        <v>1.3516294579994801</v>
      </c>
      <c r="K15" s="3" t="s">
        <v>48</v>
      </c>
      <c r="L15" s="3">
        <v>6</v>
      </c>
      <c r="M15" s="3">
        <v>2</v>
      </c>
      <c r="N15" s="3">
        <v>26</v>
      </c>
      <c r="O15" s="3">
        <v>0</v>
      </c>
      <c r="P15" s="3">
        <v>46.243873625000603</v>
      </c>
      <c r="Q15" s="2"/>
      <c r="R15" s="2"/>
      <c r="S15" s="2"/>
      <c r="T15" s="2"/>
      <c r="U15" s="2"/>
      <c r="V15" s="2"/>
      <c r="W15" s="2"/>
      <c r="X15" s="2"/>
      <c r="Y15" s="3">
        <v>46.231417541000198</v>
      </c>
      <c r="Z15" s="3">
        <v>46.243873625000603</v>
      </c>
      <c r="AA15" s="3">
        <v>46.7219087910007</v>
      </c>
      <c r="AB15" s="3">
        <v>46.7219087910007</v>
      </c>
      <c r="AC15" s="3">
        <v>46.7219087910007</v>
      </c>
      <c r="AD15" s="3">
        <v>48.080342708000003</v>
      </c>
      <c r="AE15" s="3" t="s">
        <v>56</v>
      </c>
      <c r="AF15" s="3">
        <v>1</v>
      </c>
      <c r="AG15" s="3">
        <v>1.3516294579994801</v>
      </c>
      <c r="AH15" s="3" t="s">
        <v>48</v>
      </c>
      <c r="AI15" s="2"/>
      <c r="AJ15" s="2"/>
      <c r="AK15" s="2"/>
      <c r="AL15" s="2"/>
      <c r="AM15" s="2"/>
      <c r="AN15" s="3">
        <v>1</v>
      </c>
      <c r="AO15" s="3">
        <v>1</v>
      </c>
      <c r="AP15" s="3" t="s">
        <v>49</v>
      </c>
      <c r="AQ15" s="3" t="s">
        <v>50</v>
      </c>
      <c r="AR15" s="2"/>
      <c r="AS15" s="3" t="s">
        <v>51</v>
      </c>
      <c r="AT15" s="3">
        <v>119.60828287325999</v>
      </c>
      <c r="AU15" s="3" t="s">
        <v>52</v>
      </c>
      <c r="AV15" s="2"/>
    </row>
    <row r="16" spans="1:48" x14ac:dyDescent="0.2">
      <c r="A16" s="1" t="s">
        <v>60</v>
      </c>
      <c r="B16" s="3" t="s">
        <v>54</v>
      </c>
      <c r="C16" s="3" t="s">
        <v>58</v>
      </c>
      <c r="D16" s="3" t="s">
        <v>56</v>
      </c>
      <c r="E16" s="3">
        <v>28</v>
      </c>
      <c r="F16" s="3">
        <v>0</v>
      </c>
      <c r="G16" s="3">
        <v>7</v>
      </c>
      <c r="H16" s="3" t="s">
        <v>56</v>
      </c>
      <c r="I16" s="3">
        <v>1</v>
      </c>
      <c r="J16" s="3">
        <v>0.81259704100011698</v>
      </c>
      <c r="K16" s="3" t="s">
        <v>48</v>
      </c>
      <c r="L16" s="3">
        <v>7</v>
      </c>
      <c r="M16" s="3">
        <v>0</v>
      </c>
      <c r="N16" s="3">
        <v>28</v>
      </c>
      <c r="O16" s="3">
        <v>0</v>
      </c>
      <c r="P16" s="3">
        <v>49.796428708000398</v>
      </c>
      <c r="Q16" s="2"/>
      <c r="R16" s="2"/>
      <c r="S16" s="2"/>
      <c r="T16" s="2"/>
      <c r="U16" s="2"/>
      <c r="V16" s="2"/>
      <c r="W16" s="2"/>
      <c r="X16" s="2"/>
      <c r="Y16" s="3">
        <v>49.785817958000699</v>
      </c>
      <c r="Z16" s="3">
        <v>49.796428708000398</v>
      </c>
      <c r="AA16" s="3">
        <v>50.272006416000302</v>
      </c>
      <c r="AB16" s="3">
        <v>50.272006416000302</v>
      </c>
      <c r="AC16" s="3">
        <v>50.272006416000302</v>
      </c>
      <c r="AD16" s="3">
        <v>51.091009333000301</v>
      </c>
      <c r="AE16" s="3" t="s">
        <v>56</v>
      </c>
      <c r="AF16" s="3">
        <v>1</v>
      </c>
      <c r="AG16" s="3">
        <v>0.81259704100011698</v>
      </c>
      <c r="AH16" s="3" t="s">
        <v>48</v>
      </c>
      <c r="AI16" s="2"/>
      <c r="AJ16" s="2"/>
      <c r="AK16" s="2"/>
      <c r="AL16" s="2"/>
      <c r="AM16" s="2"/>
      <c r="AN16" s="3">
        <v>1</v>
      </c>
      <c r="AO16" s="3">
        <v>1</v>
      </c>
      <c r="AP16" s="3" t="s">
        <v>49</v>
      </c>
      <c r="AQ16" s="3" t="s">
        <v>50</v>
      </c>
      <c r="AR16" s="2"/>
      <c r="AS16" s="3" t="s">
        <v>51</v>
      </c>
      <c r="AT16" s="3">
        <v>119.60828287325999</v>
      </c>
      <c r="AU16" s="3" t="s">
        <v>52</v>
      </c>
      <c r="AV16" s="2"/>
    </row>
    <row r="17" spans="1:48" x14ac:dyDescent="0.2">
      <c r="A17" s="1" t="s">
        <v>53</v>
      </c>
      <c r="B17" s="3" t="s">
        <v>57</v>
      </c>
      <c r="C17" s="3" t="s">
        <v>58</v>
      </c>
      <c r="D17" s="3" t="s">
        <v>59</v>
      </c>
      <c r="E17" s="3">
        <v>29</v>
      </c>
      <c r="F17" s="3">
        <v>1</v>
      </c>
      <c r="G17" s="3">
        <v>7</v>
      </c>
      <c r="H17" s="3" t="s">
        <v>59</v>
      </c>
      <c r="I17" s="3">
        <v>1</v>
      </c>
      <c r="J17" s="3">
        <v>0.80592999999953496</v>
      </c>
      <c r="K17" s="3" t="s">
        <v>48</v>
      </c>
      <c r="L17" s="3">
        <v>7</v>
      </c>
      <c r="M17" s="3">
        <v>1</v>
      </c>
      <c r="N17" s="3">
        <v>29</v>
      </c>
      <c r="O17" s="3">
        <v>3</v>
      </c>
      <c r="P17" s="3">
        <v>51.106947666000501</v>
      </c>
      <c r="Q17" s="2"/>
      <c r="R17" s="2"/>
      <c r="S17" s="2"/>
      <c r="T17" s="2"/>
      <c r="U17" s="2"/>
      <c r="V17" s="2"/>
      <c r="W17" s="2"/>
      <c r="X17" s="2"/>
      <c r="Y17" s="3">
        <v>51.0956141660008</v>
      </c>
      <c r="Z17" s="3">
        <v>51.106947666000501</v>
      </c>
      <c r="AA17" s="3">
        <v>51.588642541000802</v>
      </c>
      <c r="AB17" s="3">
        <v>51.588642541000802</v>
      </c>
      <c r="AC17" s="3">
        <v>51.588642541000802</v>
      </c>
      <c r="AD17" s="3">
        <v>52.397194708000796</v>
      </c>
      <c r="AE17" s="3" t="s">
        <v>59</v>
      </c>
      <c r="AF17" s="3">
        <v>1</v>
      </c>
      <c r="AG17" s="3">
        <v>0.80592999999953496</v>
      </c>
      <c r="AH17" s="3" t="s">
        <v>48</v>
      </c>
      <c r="AI17" s="2"/>
      <c r="AJ17" s="2"/>
      <c r="AK17" s="2"/>
      <c r="AL17" s="2"/>
      <c r="AM17" s="2"/>
      <c r="AN17" s="3">
        <v>1</v>
      </c>
      <c r="AO17" s="3">
        <v>1</v>
      </c>
      <c r="AP17" s="3" t="s">
        <v>49</v>
      </c>
      <c r="AQ17" s="3" t="s">
        <v>50</v>
      </c>
      <c r="AR17" s="2"/>
      <c r="AS17" s="3" t="s">
        <v>51</v>
      </c>
      <c r="AT17" s="3">
        <v>119.60828287325999</v>
      </c>
      <c r="AU17" s="3" t="s">
        <v>52</v>
      </c>
      <c r="AV17" s="2"/>
    </row>
    <row r="18" spans="1:48" x14ac:dyDescent="0.2">
      <c r="A18" s="1" t="s">
        <v>60</v>
      </c>
      <c r="B18" s="3" t="s">
        <v>54</v>
      </c>
      <c r="C18" s="3" t="s">
        <v>58</v>
      </c>
      <c r="D18" s="3" t="s">
        <v>56</v>
      </c>
      <c r="E18" s="3">
        <v>34</v>
      </c>
      <c r="F18" s="3">
        <v>2</v>
      </c>
      <c r="G18" s="3">
        <v>8</v>
      </c>
      <c r="H18" s="3" t="s">
        <v>56</v>
      </c>
      <c r="I18" s="3">
        <v>1</v>
      </c>
      <c r="J18" s="3">
        <v>0.750450208000075</v>
      </c>
      <c r="K18" s="3" t="s">
        <v>48</v>
      </c>
      <c r="L18" s="3">
        <v>8</v>
      </c>
      <c r="M18" s="3">
        <v>2</v>
      </c>
      <c r="N18" s="3">
        <v>34</v>
      </c>
      <c r="O18" s="3">
        <v>0</v>
      </c>
      <c r="P18" s="3">
        <v>59.161138875000702</v>
      </c>
      <c r="Q18" s="2"/>
      <c r="R18" s="2"/>
      <c r="S18" s="2"/>
      <c r="T18" s="2"/>
      <c r="U18" s="2"/>
      <c r="V18" s="2"/>
      <c r="W18" s="2"/>
      <c r="X18" s="2"/>
      <c r="Y18" s="3">
        <v>59.1512031660004</v>
      </c>
      <c r="Z18" s="3">
        <v>59.161138875000702</v>
      </c>
      <c r="AA18" s="3">
        <v>59.639193708000697</v>
      </c>
      <c r="AB18" s="3">
        <v>59.639193708000697</v>
      </c>
      <c r="AC18" s="3">
        <v>59.639193708000697</v>
      </c>
      <c r="AD18" s="3">
        <v>60.391424750000603</v>
      </c>
      <c r="AE18" s="3" t="s">
        <v>56</v>
      </c>
      <c r="AF18" s="3">
        <v>1</v>
      </c>
      <c r="AG18" s="3">
        <v>0.750450208000075</v>
      </c>
      <c r="AH18" s="3" t="s">
        <v>48</v>
      </c>
      <c r="AI18" s="2"/>
      <c r="AJ18" s="2"/>
      <c r="AK18" s="2"/>
      <c r="AL18" s="2"/>
      <c r="AM18" s="2"/>
      <c r="AN18" s="3">
        <v>1</v>
      </c>
      <c r="AO18" s="3">
        <v>1</v>
      </c>
      <c r="AP18" s="3" t="s">
        <v>49</v>
      </c>
      <c r="AQ18" s="3" t="s">
        <v>50</v>
      </c>
      <c r="AR18" s="2"/>
      <c r="AS18" s="3" t="s">
        <v>51</v>
      </c>
      <c r="AT18" s="3">
        <v>119.60828287325999</v>
      </c>
      <c r="AU18" s="3" t="s">
        <v>52</v>
      </c>
      <c r="AV18" s="2"/>
    </row>
    <row r="19" spans="1:48" x14ac:dyDescent="0.2">
      <c r="A19" s="1" t="s">
        <v>53</v>
      </c>
      <c r="B19" s="3" t="s">
        <v>57</v>
      </c>
      <c r="C19" s="3" t="s">
        <v>58</v>
      </c>
      <c r="D19" s="3" t="s">
        <v>59</v>
      </c>
      <c r="E19" s="3">
        <v>35</v>
      </c>
      <c r="F19" s="3">
        <v>3</v>
      </c>
      <c r="G19" s="3">
        <v>8</v>
      </c>
      <c r="H19" s="3" t="s">
        <v>59</v>
      </c>
      <c r="I19" s="3">
        <v>1</v>
      </c>
      <c r="J19" s="3">
        <v>0.84893579100025796</v>
      </c>
      <c r="K19" s="3" t="s">
        <v>48</v>
      </c>
      <c r="L19" s="3">
        <v>8</v>
      </c>
      <c r="M19" s="3">
        <v>3</v>
      </c>
      <c r="N19" s="3">
        <v>35</v>
      </c>
      <c r="O19" s="3">
        <v>3</v>
      </c>
      <c r="P19" s="3">
        <v>60.406088416000799</v>
      </c>
      <c r="Q19" s="2"/>
      <c r="R19" s="2"/>
      <c r="S19" s="2"/>
      <c r="T19" s="2"/>
      <c r="U19" s="2"/>
      <c r="V19" s="2"/>
      <c r="W19" s="2"/>
      <c r="X19" s="2"/>
      <c r="Y19" s="3">
        <v>60.395639583000097</v>
      </c>
      <c r="Z19" s="3">
        <v>60.406088416000799</v>
      </c>
      <c r="AA19" s="3">
        <v>60.888792708000402</v>
      </c>
      <c r="AB19" s="3">
        <v>60.888792708000402</v>
      </c>
      <c r="AC19" s="3">
        <v>60.888792708000402</v>
      </c>
      <c r="AD19" s="3">
        <v>61.740770833000198</v>
      </c>
      <c r="AE19" s="3" t="s">
        <v>59</v>
      </c>
      <c r="AF19" s="3">
        <v>1</v>
      </c>
      <c r="AG19" s="3">
        <v>0.84893579100025796</v>
      </c>
      <c r="AH19" s="3" t="s">
        <v>48</v>
      </c>
      <c r="AI19" s="2"/>
      <c r="AJ19" s="2"/>
      <c r="AK19" s="2"/>
      <c r="AL19" s="2"/>
      <c r="AM19" s="2"/>
      <c r="AN19" s="3">
        <v>1</v>
      </c>
      <c r="AO19" s="3">
        <v>1</v>
      </c>
      <c r="AP19" s="3" t="s">
        <v>49</v>
      </c>
      <c r="AQ19" s="3" t="s">
        <v>50</v>
      </c>
      <c r="AR19" s="2"/>
      <c r="AS19" s="3" t="s">
        <v>51</v>
      </c>
      <c r="AT19" s="3">
        <v>119.60828287325999</v>
      </c>
      <c r="AU19" s="3" t="s">
        <v>52</v>
      </c>
      <c r="AV19" s="2"/>
    </row>
    <row r="20" spans="1:48" x14ac:dyDescent="0.2">
      <c r="A20" s="1" t="s">
        <v>53</v>
      </c>
      <c r="B20" s="3" t="s">
        <v>57</v>
      </c>
      <c r="C20" s="3" t="s">
        <v>58</v>
      </c>
      <c r="D20" s="3" t="s">
        <v>59</v>
      </c>
      <c r="E20" s="3">
        <v>36</v>
      </c>
      <c r="F20" s="3">
        <v>0</v>
      </c>
      <c r="G20" s="3">
        <v>9</v>
      </c>
      <c r="H20" s="3" t="s">
        <v>59</v>
      </c>
      <c r="I20" s="3">
        <v>1</v>
      </c>
      <c r="J20" s="3">
        <v>0.87436962399988305</v>
      </c>
      <c r="K20" s="3" t="s">
        <v>48</v>
      </c>
      <c r="L20" s="3">
        <v>9</v>
      </c>
      <c r="M20" s="3">
        <v>0</v>
      </c>
      <c r="N20" s="3">
        <v>36</v>
      </c>
      <c r="O20" s="3">
        <v>3</v>
      </c>
      <c r="P20" s="3">
        <v>61.753990083000602</v>
      </c>
      <c r="Q20" s="2"/>
      <c r="R20" s="2"/>
      <c r="S20" s="2"/>
      <c r="T20" s="2"/>
      <c r="U20" s="2"/>
      <c r="V20" s="2"/>
      <c r="W20" s="2"/>
      <c r="X20" s="2"/>
      <c r="Y20" s="3">
        <v>61.741903625000297</v>
      </c>
      <c r="Z20" s="3">
        <v>61.753990083000602</v>
      </c>
      <c r="AA20" s="3">
        <v>62.239215500000697</v>
      </c>
      <c r="AB20" s="3">
        <v>62.239215500000697</v>
      </c>
      <c r="AC20" s="3">
        <v>62.239215500000697</v>
      </c>
      <c r="AD20" s="3">
        <v>63.124313833000102</v>
      </c>
      <c r="AE20" s="3" t="s">
        <v>59</v>
      </c>
      <c r="AF20" s="3">
        <v>1</v>
      </c>
      <c r="AG20" s="3">
        <v>0.87436962399988305</v>
      </c>
      <c r="AH20" s="3" t="s">
        <v>48</v>
      </c>
      <c r="AI20" s="2"/>
      <c r="AJ20" s="2"/>
      <c r="AK20" s="2"/>
      <c r="AL20" s="2"/>
      <c r="AM20" s="2"/>
      <c r="AN20" s="3">
        <v>1</v>
      </c>
      <c r="AO20" s="3">
        <v>1</v>
      </c>
      <c r="AP20" s="3" t="s">
        <v>49</v>
      </c>
      <c r="AQ20" s="3" t="s">
        <v>50</v>
      </c>
      <c r="AR20" s="2"/>
      <c r="AS20" s="3" t="s">
        <v>51</v>
      </c>
      <c r="AT20" s="3">
        <v>119.60828287325999</v>
      </c>
      <c r="AU20" s="3" t="s">
        <v>52</v>
      </c>
      <c r="AV20" s="2"/>
    </row>
    <row r="21" spans="1:48" x14ac:dyDescent="0.2">
      <c r="A21" s="1" t="s">
        <v>60</v>
      </c>
      <c r="B21" s="3" t="s">
        <v>54</v>
      </c>
      <c r="C21" s="3" t="s">
        <v>58</v>
      </c>
      <c r="D21" s="3" t="s">
        <v>56</v>
      </c>
      <c r="E21" s="3">
        <v>39</v>
      </c>
      <c r="F21" s="3">
        <v>3</v>
      </c>
      <c r="G21" s="3">
        <v>9</v>
      </c>
      <c r="H21" s="3" t="s">
        <v>56</v>
      </c>
      <c r="I21" s="3">
        <v>1</v>
      </c>
      <c r="J21" s="3">
        <v>0.71925162400020803</v>
      </c>
      <c r="K21" s="3" t="s">
        <v>48</v>
      </c>
      <c r="L21" s="3">
        <v>9</v>
      </c>
      <c r="M21" s="3">
        <v>3</v>
      </c>
      <c r="N21" s="3">
        <v>39</v>
      </c>
      <c r="O21" s="3">
        <v>0</v>
      </c>
      <c r="P21" s="3">
        <v>66.189161457999901</v>
      </c>
      <c r="Q21" s="2"/>
      <c r="R21" s="2"/>
      <c r="S21" s="2"/>
      <c r="T21" s="2"/>
      <c r="U21" s="2"/>
      <c r="V21" s="2"/>
      <c r="W21" s="2"/>
      <c r="X21" s="2"/>
      <c r="Y21" s="3">
        <v>66.176045791000405</v>
      </c>
      <c r="Z21" s="3">
        <v>66.189161457999901</v>
      </c>
      <c r="AA21" s="3">
        <v>66.672273166000195</v>
      </c>
      <c r="AB21" s="3">
        <v>66.672273166000195</v>
      </c>
      <c r="AC21" s="3">
        <v>66.672273166000195</v>
      </c>
      <c r="AD21" s="3">
        <v>67.396886125000506</v>
      </c>
      <c r="AE21" s="3" t="s">
        <v>56</v>
      </c>
      <c r="AF21" s="3">
        <v>1</v>
      </c>
      <c r="AG21" s="3">
        <v>0.71925162400020803</v>
      </c>
      <c r="AH21" s="3" t="s">
        <v>48</v>
      </c>
      <c r="AI21" s="2"/>
      <c r="AJ21" s="2"/>
      <c r="AK21" s="2"/>
      <c r="AL21" s="2"/>
      <c r="AM21" s="2"/>
      <c r="AN21" s="3">
        <v>1</v>
      </c>
      <c r="AO21" s="3">
        <v>1</v>
      </c>
      <c r="AP21" s="3" t="s">
        <v>49</v>
      </c>
      <c r="AQ21" s="3" t="s">
        <v>50</v>
      </c>
      <c r="AR21" s="2"/>
      <c r="AS21" s="3" t="s">
        <v>51</v>
      </c>
      <c r="AT21" s="3">
        <v>119.60828287325999</v>
      </c>
      <c r="AU21" s="3" t="s">
        <v>52</v>
      </c>
      <c r="AV21" s="2"/>
    </row>
    <row r="22" spans="1:48" x14ac:dyDescent="0.2">
      <c r="A22" s="1" t="s">
        <v>53</v>
      </c>
      <c r="B22" s="3" t="s">
        <v>54</v>
      </c>
      <c r="C22" s="3" t="s">
        <v>55</v>
      </c>
      <c r="D22" s="3" t="s">
        <v>56</v>
      </c>
      <c r="E22" s="3">
        <v>0</v>
      </c>
      <c r="F22" s="3">
        <v>0</v>
      </c>
      <c r="G22" s="3">
        <v>0</v>
      </c>
      <c r="H22" s="3" t="s">
        <v>56</v>
      </c>
      <c r="I22" s="3">
        <v>1</v>
      </c>
      <c r="J22" s="3">
        <v>1.43244137499914</v>
      </c>
      <c r="K22" s="3" t="s">
        <v>48</v>
      </c>
      <c r="L22" s="3">
        <v>0</v>
      </c>
      <c r="M22" s="3">
        <v>0</v>
      </c>
      <c r="N22" s="3">
        <v>0</v>
      </c>
      <c r="O22" s="3">
        <v>2</v>
      </c>
      <c r="P22" s="3">
        <v>2.6592593330005898</v>
      </c>
      <c r="Q22" s="2"/>
      <c r="R22" s="2"/>
      <c r="S22" s="2"/>
      <c r="T22" s="2"/>
      <c r="U22" s="2"/>
      <c r="V22" s="2"/>
      <c r="W22" s="2"/>
      <c r="X22" s="2"/>
      <c r="Y22" s="3">
        <v>2.6312050830001699</v>
      </c>
      <c r="Z22" s="3">
        <v>2.6592593330005898</v>
      </c>
      <c r="AA22" s="3">
        <v>3.1131308750000199</v>
      </c>
      <c r="AB22" s="3">
        <v>3.1131308750000199</v>
      </c>
      <c r="AC22" s="3">
        <v>3.1131308750000199</v>
      </c>
      <c r="AD22" s="3">
        <v>4.5569022080007899</v>
      </c>
      <c r="AE22" s="3" t="s">
        <v>56</v>
      </c>
      <c r="AF22" s="3">
        <v>1</v>
      </c>
      <c r="AG22" s="3">
        <v>1.43244137499914</v>
      </c>
      <c r="AH22" s="3" t="s">
        <v>48</v>
      </c>
      <c r="AI22" s="2"/>
      <c r="AJ22" s="2"/>
      <c r="AK22" s="2"/>
      <c r="AL22" s="2"/>
      <c r="AM22" s="2"/>
      <c r="AN22" s="3">
        <v>1</v>
      </c>
      <c r="AO22" s="3">
        <v>1</v>
      </c>
      <c r="AP22" s="3" t="s">
        <v>49</v>
      </c>
      <c r="AQ22" s="3" t="s">
        <v>50</v>
      </c>
      <c r="AR22" s="2"/>
      <c r="AS22" s="3" t="s">
        <v>51</v>
      </c>
      <c r="AT22" s="3">
        <v>119.60828287325999</v>
      </c>
      <c r="AU22" s="3" t="s">
        <v>52</v>
      </c>
      <c r="AV22" s="2"/>
    </row>
    <row r="23" spans="1:48" x14ac:dyDescent="0.2">
      <c r="A23" s="1" t="s">
        <v>60</v>
      </c>
      <c r="B23" s="3" t="s">
        <v>57</v>
      </c>
      <c r="C23" s="3" t="s">
        <v>55</v>
      </c>
      <c r="D23" s="3" t="s">
        <v>59</v>
      </c>
      <c r="E23" s="3">
        <v>3</v>
      </c>
      <c r="F23" s="3">
        <v>3</v>
      </c>
      <c r="G23" s="3">
        <v>0</v>
      </c>
      <c r="H23" s="3" t="s">
        <v>59</v>
      </c>
      <c r="I23" s="3">
        <v>1</v>
      </c>
      <c r="J23" s="3">
        <v>0.99244824899960804</v>
      </c>
      <c r="K23" s="3" t="s">
        <v>48</v>
      </c>
      <c r="L23" s="3">
        <v>0</v>
      </c>
      <c r="M23" s="3">
        <v>3</v>
      </c>
      <c r="N23" s="3">
        <v>3</v>
      </c>
      <c r="O23" s="3">
        <v>1</v>
      </c>
      <c r="P23" s="3">
        <v>7.8591890000006996</v>
      </c>
      <c r="Q23" s="2"/>
      <c r="R23" s="2"/>
      <c r="S23" s="2"/>
      <c r="T23" s="2"/>
      <c r="U23" s="2"/>
      <c r="V23" s="2"/>
      <c r="W23" s="2"/>
      <c r="X23" s="2"/>
      <c r="Y23" s="3">
        <v>7.8471671659999602</v>
      </c>
      <c r="Z23" s="3">
        <v>7.8591890000006996</v>
      </c>
      <c r="AA23" s="3">
        <v>8.3380688330007597</v>
      </c>
      <c r="AB23" s="3">
        <v>8.3380688330007597</v>
      </c>
      <c r="AC23" s="3">
        <v>8.3380688330007597</v>
      </c>
      <c r="AD23" s="3">
        <v>9.34048083300058</v>
      </c>
      <c r="AE23" s="3" t="s">
        <v>59</v>
      </c>
      <c r="AF23" s="3">
        <v>1</v>
      </c>
      <c r="AG23" s="3">
        <v>0.99244824899960804</v>
      </c>
      <c r="AH23" s="3" t="s">
        <v>48</v>
      </c>
      <c r="AI23" s="2"/>
      <c r="AJ23" s="2"/>
      <c r="AK23" s="2"/>
      <c r="AL23" s="2"/>
      <c r="AM23" s="2"/>
      <c r="AN23" s="3">
        <v>1</v>
      </c>
      <c r="AO23" s="3">
        <v>1</v>
      </c>
      <c r="AP23" s="3" t="s">
        <v>49</v>
      </c>
      <c r="AQ23" s="3" t="s">
        <v>50</v>
      </c>
      <c r="AR23" s="2"/>
      <c r="AS23" s="3" t="s">
        <v>51</v>
      </c>
      <c r="AT23" s="3">
        <v>119.60828287325999</v>
      </c>
      <c r="AU23" s="3" t="s">
        <v>52</v>
      </c>
      <c r="AV23" s="2"/>
    </row>
    <row r="24" spans="1:48" x14ac:dyDescent="0.2">
      <c r="A24" s="1" t="s">
        <v>53</v>
      </c>
      <c r="B24" s="3" t="s">
        <v>54</v>
      </c>
      <c r="C24" s="3" t="s">
        <v>55</v>
      </c>
      <c r="D24" s="3" t="s">
        <v>56</v>
      </c>
      <c r="E24" s="3">
        <v>4</v>
      </c>
      <c r="F24" s="3">
        <v>0</v>
      </c>
      <c r="G24" s="3">
        <v>1</v>
      </c>
      <c r="H24" s="3" t="s">
        <v>56</v>
      </c>
      <c r="I24" s="3">
        <v>1</v>
      </c>
      <c r="J24" s="3">
        <v>1.25283158300044</v>
      </c>
      <c r="K24" s="3" t="s">
        <v>48</v>
      </c>
      <c r="L24" s="3">
        <v>1</v>
      </c>
      <c r="M24" s="3">
        <v>0</v>
      </c>
      <c r="N24" s="3">
        <v>4</v>
      </c>
      <c r="O24" s="3">
        <v>2</v>
      </c>
      <c r="P24" s="3">
        <v>9.3559115000007296</v>
      </c>
      <c r="Q24" s="2"/>
      <c r="R24" s="2"/>
      <c r="S24" s="2"/>
      <c r="T24" s="2"/>
      <c r="U24" s="2"/>
      <c r="V24" s="2"/>
      <c r="W24" s="2"/>
      <c r="X24" s="2"/>
      <c r="Y24" s="3">
        <v>9.3453152080001001</v>
      </c>
      <c r="Z24" s="3">
        <v>9.3559115000007296</v>
      </c>
      <c r="AA24" s="3">
        <v>9.8375581660002407</v>
      </c>
      <c r="AB24" s="3">
        <v>9.8375581660002407</v>
      </c>
      <c r="AC24" s="3">
        <v>9.8375581660002407</v>
      </c>
      <c r="AD24" s="3">
        <v>11.096506208000401</v>
      </c>
      <c r="AE24" s="3" t="s">
        <v>56</v>
      </c>
      <c r="AF24" s="3">
        <v>1</v>
      </c>
      <c r="AG24" s="3">
        <v>1.25283158300044</v>
      </c>
      <c r="AH24" s="3" t="s">
        <v>48</v>
      </c>
      <c r="AI24" s="2"/>
      <c r="AJ24" s="2"/>
      <c r="AK24" s="2"/>
      <c r="AL24" s="2"/>
      <c r="AM24" s="2"/>
      <c r="AN24" s="3">
        <v>1</v>
      </c>
      <c r="AO24" s="3">
        <v>1</v>
      </c>
      <c r="AP24" s="3" t="s">
        <v>49</v>
      </c>
      <c r="AQ24" s="3" t="s">
        <v>50</v>
      </c>
      <c r="AR24" s="2"/>
      <c r="AS24" s="3" t="s">
        <v>51</v>
      </c>
      <c r="AT24" s="3">
        <v>119.60828287325999</v>
      </c>
      <c r="AU24" s="3" t="s">
        <v>52</v>
      </c>
      <c r="AV24" s="2"/>
    </row>
    <row r="25" spans="1:48" x14ac:dyDescent="0.2">
      <c r="A25" s="1" t="s">
        <v>60</v>
      </c>
      <c r="B25" s="3" t="s">
        <v>57</v>
      </c>
      <c r="C25" s="3" t="s">
        <v>55</v>
      </c>
      <c r="D25" s="3" t="s">
        <v>59</v>
      </c>
      <c r="E25" s="3">
        <v>7</v>
      </c>
      <c r="F25" s="3">
        <v>3</v>
      </c>
      <c r="G25" s="3">
        <v>1</v>
      </c>
      <c r="H25" s="3" t="s">
        <v>59</v>
      </c>
      <c r="I25" s="3">
        <v>1</v>
      </c>
      <c r="J25" s="3">
        <v>2.2016340830005001</v>
      </c>
      <c r="K25" s="3" t="s">
        <v>48</v>
      </c>
      <c r="L25" s="3">
        <v>1</v>
      </c>
      <c r="M25" s="3">
        <v>3</v>
      </c>
      <c r="N25" s="3">
        <v>7</v>
      </c>
      <c r="O25" s="3">
        <v>1</v>
      </c>
      <c r="P25" s="3">
        <v>14.823262165999999</v>
      </c>
      <c r="Q25" s="2"/>
      <c r="R25" s="2"/>
      <c r="S25" s="2"/>
      <c r="T25" s="2"/>
      <c r="U25" s="2"/>
      <c r="V25" s="2"/>
      <c r="W25" s="2"/>
      <c r="X25" s="2"/>
      <c r="Y25" s="3">
        <v>14.811792625000599</v>
      </c>
      <c r="Z25" s="3">
        <v>14.823262165999999</v>
      </c>
      <c r="AA25" s="3">
        <v>15.305001958000499</v>
      </c>
      <c r="AB25" s="3">
        <v>15.305001958000499</v>
      </c>
      <c r="AC25" s="3">
        <v>15.305001958000499</v>
      </c>
      <c r="AD25" s="3">
        <v>17.512942791000601</v>
      </c>
      <c r="AE25" s="3" t="s">
        <v>59</v>
      </c>
      <c r="AF25" s="3">
        <v>1</v>
      </c>
      <c r="AG25" s="3">
        <v>2.2016340830005001</v>
      </c>
      <c r="AH25" s="3" t="s">
        <v>48</v>
      </c>
      <c r="AI25" s="3">
        <v>17.293704458000299</v>
      </c>
      <c r="AJ25" s="2"/>
      <c r="AK25" s="2"/>
      <c r="AL25" s="2"/>
      <c r="AM25" s="2"/>
      <c r="AN25" s="3">
        <v>1</v>
      </c>
      <c r="AO25" s="3">
        <v>1</v>
      </c>
      <c r="AP25" s="3" t="s">
        <v>49</v>
      </c>
      <c r="AQ25" s="3" t="s">
        <v>50</v>
      </c>
      <c r="AR25" s="2"/>
      <c r="AS25" s="3" t="s">
        <v>51</v>
      </c>
      <c r="AT25" s="3">
        <v>119.60828287325999</v>
      </c>
      <c r="AU25" s="3" t="s">
        <v>52</v>
      </c>
      <c r="AV25" s="2"/>
    </row>
    <row r="26" spans="1:48" x14ac:dyDescent="0.2">
      <c r="A26" s="1" t="s">
        <v>53</v>
      </c>
      <c r="B26" s="3" t="s">
        <v>54</v>
      </c>
      <c r="C26" s="3" t="s">
        <v>55</v>
      </c>
      <c r="D26" s="3" t="s">
        <v>56</v>
      </c>
      <c r="E26" s="3">
        <v>8</v>
      </c>
      <c r="F26" s="3">
        <v>0</v>
      </c>
      <c r="G26" s="3">
        <v>2</v>
      </c>
      <c r="H26" s="3" t="s">
        <v>56</v>
      </c>
      <c r="I26" s="3">
        <v>1</v>
      </c>
      <c r="J26" s="3">
        <v>1.06669258300008</v>
      </c>
      <c r="K26" s="3" t="s">
        <v>48</v>
      </c>
      <c r="L26" s="3">
        <v>2</v>
      </c>
      <c r="M26" s="3">
        <v>0</v>
      </c>
      <c r="N26" s="3">
        <v>8</v>
      </c>
      <c r="O26" s="3">
        <v>2</v>
      </c>
      <c r="P26" s="3">
        <v>17.529057625</v>
      </c>
      <c r="Q26" s="2"/>
      <c r="R26" s="2"/>
      <c r="S26" s="2"/>
      <c r="T26" s="2"/>
      <c r="U26" s="2"/>
      <c r="V26" s="2"/>
      <c r="W26" s="2"/>
      <c r="X26" s="2"/>
      <c r="Y26" s="3">
        <v>17.518498333</v>
      </c>
      <c r="Z26" s="3">
        <v>17.529057625</v>
      </c>
      <c r="AA26" s="3">
        <v>18.004896082999998</v>
      </c>
      <c r="AB26" s="3">
        <v>18.004896082999998</v>
      </c>
      <c r="AC26" s="3">
        <v>18.004896082999998</v>
      </c>
      <c r="AD26" s="3">
        <v>19.073678665999999</v>
      </c>
      <c r="AE26" s="3" t="s">
        <v>56</v>
      </c>
      <c r="AF26" s="3">
        <v>1</v>
      </c>
      <c r="AG26" s="3">
        <v>1.06669258300008</v>
      </c>
      <c r="AH26" s="3" t="s">
        <v>48</v>
      </c>
      <c r="AI26" s="2"/>
      <c r="AJ26" s="2"/>
      <c r="AK26" s="2"/>
      <c r="AL26" s="2"/>
      <c r="AM26" s="2"/>
      <c r="AN26" s="3">
        <v>1</v>
      </c>
      <c r="AO26" s="3">
        <v>1</v>
      </c>
      <c r="AP26" s="3" t="s">
        <v>49</v>
      </c>
      <c r="AQ26" s="3" t="s">
        <v>50</v>
      </c>
      <c r="AR26" s="2"/>
      <c r="AS26" s="3" t="s">
        <v>51</v>
      </c>
      <c r="AT26" s="3">
        <v>119.60828287325999</v>
      </c>
      <c r="AU26" s="3" t="s">
        <v>52</v>
      </c>
      <c r="AV26" s="2"/>
    </row>
    <row r="27" spans="1:48" x14ac:dyDescent="0.2">
      <c r="A27" s="1" t="s">
        <v>60</v>
      </c>
      <c r="B27" s="3" t="s">
        <v>57</v>
      </c>
      <c r="C27" s="3" t="s">
        <v>55</v>
      </c>
      <c r="D27" s="3" t="s">
        <v>59</v>
      </c>
      <c r="E27" s="3">
        <v>11</v>
      </c>
      <c r="F27" s="3">
        <v>3</v>
      </c>
      <c r="G27" s="3">
        <v>2</v>
      </c>
      <c r="H27" s="3" t="s">
        <v>59</v>
      </c>
      <c r="I27" s="3">
        <v>1</v>
      </c>
      <c r="J27" s="3">
        <v>1.6304097080001201</v>
      </c>
      <c r="K27" s="3" t="s">
        <v>48</v>
      </c>
      <c r="L27" s="3">
        <v>2</v>
      </c>
      <c r="M27" s="3">
        <v>3</v>
      </c>
      <c r="N27" s="3">
        <v>11</v>
      </c>
      <c r="O27" s="3">
        <v>1</v>
      </c>
      <c r="P27" s="3">
        <v>22.872690166000201</v>
      </c>
      <c r="Q27" s="2"/>
      <c r="R27" s="2"/>
      <c r="S27" s="2"/>
      <c r="T27" s="2"/>
      <c r="U27" s="2"/>
      <c r="V27" s="2"/>
      <c r="W27" s="2"/>
      <c r="X27" s="2"/>
      <c r="Y27" s="3">
        <v>22.861219625000601</v>
      </c>
      <c r="Z27" s="3">
        <v>22.872690166000201</v>
      </c>
      <c r="AA27" s="3">
        <v>23.3572812500006</v>
      </c>
      <c r="AB27" s="3">
        <v>23.3572812500006</v>
      </c>
      <c r="AC27" s="3">
        <v>23.3572812500006</v>
      </c>
      <c r="AD27" s="3">
        <v>24.990442291000399</v>
      </c>
      <c r="AE27" s="3" t="s">
        <v>59</v>
      </c>
      <c r="AF27" s="3">
        <v>1</v>
      </c>
      <c r="AG27" s="3">
        <v>1.6304097080001201</v>
      </c>
      <c r="AH27" s="3" t="s">
        <v>48</v>
      </c>
      <c r="AI27" s="2"/>
      <c r="AJ27" s="2"/>
      <c r="AK27" s="2"/>
      <c r="AL27" s="2"/>
      <c r="AM27" s="2"/>
      <c r="AN27" s="3">
        <v>1</v>
      </c>
      <c r="AO27" s="3">
        <v>1</v>
      </c>
      <c r="AP27" s="3" t="s">
        <v>49</v>
      </c>
      <c r="AQ27" s="3" t="s">
        <v>50</v>
      </c>
      <c r="AR27" s="2"/>
      <c r="AS27" s="3" t="s">
        <v>51</v>
      </c>
      <c r="AT27" s="3">
        <v>119.60828287325999</v>
      </c>
      <c r="AU27" s="3" t="s">
        <v>52</v>
      </c>
      <c r="AV27" s="2"/>
    </row>
    <row r="28" spans="1:48" x14ac:dyDescent="0.2">
      <c r="A28" s="1" t="s">
        <v>53</v>
      </c>
      <c r="B28" s="3" t="s">
        <v>54</v>
      </c>
      <c r="C28" s="3" t="s">
        <v>55</v>
      </c>
      <c r="D28" s="3" t="s">
        <v>56</v>
      </c>
      <c r="E28" s="3">
        <v>13</v>
      </c>
      <c r="F28" s="3">
        <v>1</v>
      </c>
      <c r="G28" s="3">
        <v>3</v>
      </c>
      <c r="H28" s="3" t="s">
        <v>56</v>
      </c>
      <c r="I28" s="3">
        <v>1</v>
      </c>
      <c r="J28" s="3">
        <v>0.87194145800003797</v>
      </c>
      <c r="K28" s="3" t="s">
        <v>48</v>
      </c>
      <c r="L28" s="3">
        <v>3</v>
      </c>
      <c r="M28" s="3">
        <v>1</v>
      </c>
      <c r="N28" s="3">
        <v>13</v>
      </c>
      <c r="O28" s="3">
        <v>2</v>
      </c>
      <c r="P28" s="3">
        <v>26.786918208000301</v>
      </c>
      <c r="Q28" s="2"/>
      <c r="R28" s="2"/>
      <c r="S28" s="2"/>
      <c r="T28" s="2"/>
      <c r="U28" s="2"/>
      <c r="V28" s="2"/>
      <c r="W28" s="2"/>
      <c r="X28" s="2"/>
      <c r="Y28" s="3">
        <v>26.775185125000501</v>
      </c>
      <c r="Z28" s="3">
        <v>26.786918208000301</v>
      </c>
      <c r="AA28" s="3">
        <v>27.271651083000499</v>
      </c>
      <c r="AB28" s="3">
        <v>27.271651083000499</v>
      </c>
      <c r="AC28" s="3">
        <v>27.271651083000499</v>
      </c>
      <c r="AD28" s="3">
        <v>28.146202583000601</v>
      </c>
      <c r="AE28" s="3" t="s">
        <v>56</v>
      </c>
      <c r="AF28" s="3">
        <v>1</v>
      </c>
      <c r="AG28" s="3">
        <v>0.87194145800003797</v>
      </c>
      <c r="AH28" s="3" t="s">
        <v>48</v>
      </c>
      <c r="AI28" s="2"/>
      <c r="AJ28" s="2"/>
      <c r="AK28" s="2"/>
      <c r="AL28" s="2"/>
      <c r="AM28" s="2"/>
      <c r="AN28" s="3">
        <v>1</v>
      </c>
      <c r="AO28" s="3">
        <v>1</v>
      </c>
      <c r="AP28" s="3" t="s">
        <v>49</v>
      </c>
      <c r="AQ28" s="3" t="s">
        <v>50</v>
      </c>
      <c r="AR28" s="2"/>
      <c r="AS28" s="3" t="s">
        <v>51</v>
      </c>
      <c r="AT28" s="3">
        <v>119.60828287325999</v>
      </c>
      <c r="AU28" s="3" t="s">
        <v>52</v>
      </c>
      <c r="AV28" s="2"/>
    </row>
    <row r="29" spans="1:48" x14ac:dyDescent="0.2">
      <c r="A29" s="1" t="s">
        <v>60</v>
      </c>
      <c r="B29" s="3" t="s">
        <v>57</v>
      </c>
      <c r="C29" s="3" t="s">
        <v>55</v>
      </c>
      <c r="D29" s="3" t="s">
        <v>59</v>
      </c>
      <c r="E29" s="3">
        <v>14</v>
      </c>
      <c r="F29" s="3">
        <v>2</v>
      </c>
      <c r="G29" s="3">
        <v>3</v>
      </c>
      <c r="H29" s="3" t="s">
        <v>59</v>
      </c>
      <c r="I29" s="3">
        <v>1</v>
      </c>
      <c r="J29" s="3">
        <v>1.2393742909998799</v>
      </c>
      <c r="K29" s="3" t="s">
        <v>48</v>
      </c>
      <c r="L29" s="3">
        <v>3</v>
      </c>
      <c r="M29" s="3">
        <v>2</v>
      </c>
      <c r="N29" s="3">
        <v>14</v>
      </c>
      <c r="O29" s="3">
        <v>1</v>
      </c>
      <c r="P29" s="3">
        <v>28.161263958000699</v>
      </c>
      <c r="Q29" s="2"/>
      <c r="R29" s="2"/>
      <c r="S29" s="2"/>
      <c r="T29" s="2"/>
      <c r="U29" s="2"/>
      <c r="V29" s="2"/>
      <c r="W29" s="2"/>
      <c r="X29" s="2"/>
      <c r="Y29" s="3">
        <v>28.150644250000401</v>
      </c>
      <c r="Z29" s="3">
        <v>28.161263958000699</v>
      </c>
      <c r="AA29" s="3">
        <v>28.638299791000499</v>
      </c>
      <c r="AB29" s="3">
        <v>28.638299791000499</v>
      </c>
      <c r="AC29" s="3">
        <v>28.638299791000499</v>
      </c>
      <c r="AD29" s="3">
        <v>29.879793583000701</v>
      </c>
      <c r="AE29" s="3" t="s">
        <v>59</v>
      </c>
      <c r="AF29" s="3">
        <v>1</v>
      </c>
      <c r="AG29" s="3">
        <v>1.2393742909998799</v>
      </c>
      <c r="AH29" s="3" t="s">
        <v>48</v>
      </c>
      <c r="AI29" s="2"/>
      <c r="AJ29" s="2"/>
      <c r="AK29" s="2"/>
      <c r="AL29" s="2"/>
      <c r="AM29" s="2"/>
      <c r="AN29" s="3">
        <v>1</v>
      </c>
      <c r="AO29" s="3">
        <v>1</v>
      </c>
      <c r="AP29" s="3" t="s">
        <v>49</v>
      </c>
      <c r="AQ29" s="3" t="s">
        <v>50</v>
      </c>
      <c r="AR29" s="2"/>
      <c r="AS29" s="3" t="s">
        <v>51</v>
      </c>
      <c r="AT29" s="3">
        <v>119.60828287325999</v>
      </c>
      <c r="AU29" s="3" t="s">
        <v>52</v>
      </c>
      <c r="AV29" s="2"/>
    </row>
    <row r="30" spans="1:48" x14ac:dyDescent="0.2">
      <c r="A30" s="1" t="s">
        <v>60</v>
      </c>
      <c r="B30" s="3" t="s">
        <v>57</v>
      </c>
      <c r="C30" s="3" t="s">
        <v>55</v>
      </c>
      <c r="D30" s="3" t="s">
        <v>59</v>
      </c>
      <c r="E30" s="3">
        <v>18</v>
      </c>
      <c r="F30" s="3">
        <v>2</v>
      </c>
      <c r="G30" s="3">
        <v>4</v>
      </c>
      <c r="H30" s="3" t="s">
        <v>59</v>
      </c>
      <c r="I30" s="3">
        <v>1</v>
      </c>
      <c r="J30" s="3">
        <v>0.91334404100052802</v>
      </c>
      <c r="K30" s="3" t="s">
        <v>48</v>
      </c>
      <c r="L30" s="3">
        <v>4</v>
      </c>
      <c r="M30" s="3">
        <v>2</v>
      </c>
      <c r="N30" s="3">
        <v>18</v>
      </c>
      <c r="O30" s="3">
        <v>1</v>
      </c>
      <c r="P30" s="3">
        <v>35.288756500000098</v>
      </c>
      <c r="Q30" s="2"/>
      <c r="R30" s="2"/>
      <c r="S30" s="2"/>
      <c r="T30" s="2"/>
      <c r="U30" s="2"/>
      <c r="V30" s="2"/>
      <c r="W30" s="2"/>
      <c r="X30" s="2"/>
      <c r="Y30" s="3">
        <v>35.275720625000801</v>
      </c>
      <c r="Z30" s="3">
        <v>35.288756500000098</v>
      </c>
      <c r="AA30" s="3">
        <v>35.771188875</v>
      </c>
      <c r="AB30" s="3">
        <v>35.771188875</v>
      </c>
      <c r="AC30" s="3">
        <v>35.771188875</v>
      </c>
      <c r="AD30" s="3">
        <v>36.690898000000701</v>
      </c>
      <c r="AE30" s="3" t="s">
        <v>59</v>
      </c>
      <c r="AF30" s="3">
        <v>1</v>
      </c>
      <c r="AG30" s="3">
        <v>0.91334404100052802</v>
      </c>
      <c r="AH30" s="3" t="s">
        <v>48</v>
      </c>
      <c r="AI30" s="2"/>
      <c r="AJ30" s="2"/>
      <c r="AK30" s="2"/>
      <c r="AL30" s="2"/>
      <c r="AM30" s="2"/>
      <c r="AN30" s="3">
        <v>1</v>
      </c>
      <c r="AO30" s="3">
        <v>1</v>
      </c>
      <c r="AP30" s="3" t="s">
        <v>49</v>
      </c>
      <c r="AQ30" s="3" t="s">
        <v>50</v>
      </c>
      <c r="AR30" s="2"/>
      <c r="AS30" s="3" t="s">
        <v>51</v>
      </c>
      <c r="AT30" s="3">
        <v>119.60828287325999</v>
      </c>
      <c r="AU30" s="3" t="s">
        <v>52</v>
      </c>
      <c r="AV30" s="2"/>
    </row>
    <row r="31" spans="1:48" x14ac:dyDescent="0.2">
      <c r="A31" s="1" t="s">
        <v>53</v>
      </c>
      <c r="B31" s="3" t="s">
        <v>54</v>
      </c>
      <c r="C31" s="3" t="s">
        <v>55</v>
      </c>
      <c r="D31" s="3" t="s">
        <v>56</v>
      </c>
      <c r="E31" s="3">
        <v>19</v>
      </c>
      <c r="F31" s="3">
        <v>3</v>
      </c>
      <c r="G31" s="3">
        <v>4</v>
      </c>
      <c r="H31" s="3" t="s">
        <v>56</v>
      </c>
      <c r="I31" s="3">
        <v>1</v>
      </c>
      <c r="J31" s="3">
        <v>1.00798274899989</v>
      </c>
      <c r="K31" s="3" t="s">
        <v>48</v>
      </c>
      <c r="L31" s="3">
        <v>4</v>
      </c>
      <c r="M31" s="3">
        <v>3</v>
      </c>
      <c r="N31" s="3">
        <v>19</v>
      </c>
      <c r="O31" s="3">
        <v>2</v>
      </c>
      <c r="P31" s="3">
        <v>36.707672791000697</v>
      </c>
      <c r="Q31" s="2"/>
      <c r="R31" s="2"/>
      <c r="S31" s="2"/>
      <c r="T31" s="2"/>
      <c r="U31" s="2"/>
      <c r="V31" s="2"/>
      <c r="W31" s="2"/>
      <c r="X31" s="2"/>
      <c r="Y31" s="3">
        <v>36.696254500000599</v>
      </c>
      <c r="Z31" s="3">
        <v>36.707672791000697</v>
      </c>
      <c r="AA31" s="3">
        <v>37.188454708000798</v>
      </c>
      <c r="AB31" s="3">
        <v>37.188454708000798</v>
      </c>
      <c r="AC31" s="3">
        <v>37.188454708000798</v>
      </c>
      <c r="AD31" s="3">
        <v>38.207468125000602</v>
      </c>
      <c r="AE31" s="3" t="s">
        <v>56</v>
      </c>
      <c r="AF31" s="3">
        <v>1</v>
      </c>
      <c r="AG31" s="3">
        <v>1.00798274899989</v>
      </c>
      <c r="AH31" s="3" t="s">
        <v>48</v>
      </c>
      <c r="AI31" s="2"/>
      <c r="AJ31" s="2"/>
      <c r="AK31" s="2"/>
      <c r="AL31" s="2"/>
      <c r="AM31" s="2"/>
      <c r="AN31" s="3">
        <v>1</v>
      </c>
      <c r="AO31" s="3">
        <v>1</v>
      </c>
      <c r="AP31" s="3" t="s">
        <v>49</v>
      </c>
      <c r="AQ31" s="3" t="s">
        <v>50</v>
      </c>
      <c r="AR31" s="2"/>
      <c r="AS31" s="3" t="s">
        <v>51</v>
      </c>
      <c r="AT31" s="3">
        <v>119.60828287325999</v>
      </c>
      <c r="AU31" s="3" t="s">
        <v>52</v>
      </c>
      <c r="AV31" s="2"/>
    </row>
    <row r="32" spans="1:48" x14ac:dyDescent="0.2">
      <c r="A32" s="1" t="s">
        <v>53</v>
      </c>
      <c r="B32" s="3" t="s">
        <v>54</v>
      </c>
      <c r="C32" s="3" t="s">
        <v>55</v>
      </c>
      <c r="D32" s="3" t="s">
        <v>56</v>
      </c>
      <c r="E32" s="3">
        <v>21</v>
      </c>
      <c r="F32" s="3">
        <v>1</v>
      </c>
      <c r="G32" s="3">
        <v>5</v>
      </c>
      <c r="H32" s="3" t="s">
        <v>56</v>
      </c>
      <c r="I32" s="3">
        <v>1</v>
      </c>
      <c r="J32" s="3">
        <v>0.94491962499978399</v>
      </c>
      <c r="K32" s="3" t="s">
        <v>48</v>
      </c>
      <c r="L32" s="3">
        <v>5</v>
      </c>
      <c r="M32" s="3">
        <v>1</v>
      </c>
      <c r="N32" s="3">
        <v>21</v>
      </c>
      <c r="O32" s="3">
        <v>2</v>
      </c>
      <c r="P32" s="3">
        <v>39.553519916000397</v>
      </c>
      <c r="Q32" s="2"/>
      <c r="R32" s="2"/>
      <c r="S32" s="2"/>
      <c r="T32" s="2"/>
      <c r="U32" s="2"/>
      <c r="V32" s="2"/>
      <c r="W32" s="2"/>
      <c r="X32" s="2"/>
      <c r="Y32" s="3">
        <v>39.541533666000802</v>
      </c>
      <c r="Z32" s="3">
        <v>39.553519916000397</v>
      </c>
      <c r="AA32" s="3">
        <v>40.038632208000301</v>
      </c>
      <c r="AB32" s="3">
        <v>40.038632208000301</v>
      </c>
      <c r="AC32" s="3">
        <v>40.038632208000301</v>
      </c>
      <c r="AD32" s="3">
        <v>40.990750040999998</v>
      </c>
      <c r="AE32" s="3" t="s">
        <v>56</v>
      </c>
      <c r="AF32" s="3">
        <v>1</v>
      </c>
      <c r="AG32" s="3">
        <v>0.94491962499978399</v>
      </c>
      <c r="AH32" s="3" t="s">
        <v>48</v>
      </c>
      <c r="AI32" s="2"/>
      <c r="AJ32" s="2"/>
      <c r="AK32" s="2"/>
      <c r="AL32" s="2"/>
      <c r="AM32" s="2"/>
      <c r="AN32" s="3">
        <v>1</v>
      </c>
      <c r="AO32" s="3">
        <v>1</v>
      </c>
      <c r="AP32" s="3" t="s">
        <v>49</v>
      </c>
      <c r="AQ32" s="3" t="s">
        <v>50</v>
      </c>
      <c r="AR32" s="2"/>
      <c r="AS32" s="3" t="s">
        <v>51</v>
      </c>
      <c r="AT32" s="3">
        <v>119.60828287325999</v>
      </c>
      <c r="AU32" s="3" t="s">
        <v>52</v>
      </c>
      <c r="AV32" s="2"/>
    </row>
    <row r="33" spans="1:48" x14ac:dyDescent="0.2">
      <c r="A33" s="1" t="s">
        <v>60</v>
      </c>
      <c r="B33" s="3" t="s">
        <v>57</v>
      </c>
      <c r="C33" s="3" t="s">
        <v>55</v>
      </c>
      <c r="D33" s="3" t="s">
        <v>59</v>
      </c>
      <c r="E33" s="3">
        <v>22</v>
      </c>
      <c r="F33" s="3">
        <v>2</v>
      </c>
      <c r="G33" s="3">
        <v>5</v>
      </c>
      <c r="H33" s="3" t="s">
        <v>59</v>
      </c>
      <c r="I33" s="3">
        <v>1</v>
      </c>
      <c r="J33" s="3">
        <v>0.84159129099953101</v>
      </c>
      <c r="K33" s="3" t="s">
        <v>48</v>
      </c>
      <c r="L33" s="3">
        <v>5</v>
      </c>
      <c r="M33" s="3">
        <v>2</v>
      </c>
      <c r="N33" s="3">
        <v>22</v>
      </c>
      <c r="O33" s="3">
        <v>1</v>
      </c>
      <c r="P33" s="3">
        <v>41.0054721250008</v>
      </c>
      <c r="Q33" s="2"/>
      <c r="R33" s="2"/>
      <c r="S33" s="2"/>
      <c r="T33" s="2"/>
      <c r="U33" s="2"/>
      <c r="V33" s="2"/>
      <c r="W33" s="2"/>
      <c r="X33" s="2"/>
      <c r="Y33" s="3">
        <v>40.994211458000798</v>
      </c>
      <c r="Z33" s="3">
        <v>41.0054721250008</v>
      </c>
      <c r="AA33" s="3">
        <v>41.504969125000599</v>
      </c>
      <c r="AB33" s="3">
        <v>41.504969125000599</v>
      </c>
      <c r="AC33" s="3">
        <v>41.504969125000599</v>
      </c>
      <c r="AD33" s="3">
        <v>42.357486000000797</v>
      </c>
      <c r="AE33" s="3" t="s">
        <v>59</v>
      </c>
      <c r="AF33" s="3">
        <v>1</v>
      </c>
      <c r="AG33" s="3">
        <v>0.84159129099953101</v>
      </c>
      <c r="AH33" s="3" t="s">
        <v>48</v>
      </c>
      <c r="AI33" s="2"/>
      <c r="AJ33" s="2"/>
      <c r="AK33" s="2"/>
      <c r="AL33" s="2"/>
      <c r="AM33" s="2"/>
      <c r="AN33" s="3">
        <v>1</v>
      </c>
      <c r="AO33" s="3">
        <v>1</v>
      </c>
      <c r="AP33" s="3" t="s">
        <v>49</v>
      </c>
      <c r="AQ33" s="3" t="s">
        <v>50</v>
      </c>
      <c r="AR33" s="2"/>
      <c r="AS33" s="3" t="s">
        <v>51</v>
      </c>
      <c r="AT33" s="3">
        <v>119.60828287325999</v>
      </c>
      <c r="AU33" s="3" t="s">
        <v>52</v>
      </c>
      <c r="AV33" s="2"/>
    </row>
    <row r="34" spans="1:48" x14ac:dyDescent="0.2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2"/>
      <c r="R34" s="2"/>
      <c r="S34" s="2"/>
      <c r="T34" s="2"/>
      <c r="U34" s="2"/>
      <c r="V34" s="2"/>
      <c r="W34" s="2"/>
      <c r="X34" s="2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2"/>
      <c r="AJ34" s="2"/>
      <c r="AK34" s="2"/>
      <c r="AL34" s="2"/>
      <c r="AM34" s="2"/>
      <c r="AN34" s="3"/>
      <c r="AO34" s="3"/>
      <c r="AP34" s="3"/>
      <c r="AQ34" s="3"/>
      <c r="AR34" s="2"/>
      <c r="AS34" s="3"/>
      <c r="AT34" s="3"/>
      <c r="AU34" s="3"/>
      <c r="AV34" s="2"/>
    </row>
    <row r="35" spans="1:48" x14ac:dyDescent="0.2">
      <c r="A35" s="1" t="s">
        <v>53</v>
      </c>
      <c r="B35" s="3" t="s">
        <v>54</v>
      </c>
      <c r="C35" s="3" t="s">
        <v>55</v>
      </c>
      <c r="D35" s="3" t="s">
        <v>56</v>
      </c>
      <c r="E35" s="3">
        <v>27</v>
      </c>
      <c r="F35" s="3">
        <v>3</v>
      </c>
      <c r="G35" s="3">
        <v>6</v>
      </c>
      <c r="H35" s="3" t="s">
        <v>56</v>
      </c>
      <c r="I35" s="3">
        <v>1</v>
      </c>
      <c r="J35" s="3">
        <v>1.2048624159997401</v>
      </c>
      <c r="K35" s="3" t="s">
        <v>48</v>
      </c>
      <c r="L35" s="3">
        <v>6</v>
      </c>
      <c r="M35" s="3">
        <v>3</v>
      </c>
      <c r="N35" s="3">
        <v>27</v>
      </c>
      <c r="O35" s="3">
        <v>2</v>
      </c>
      <c r="P35" s="3">
        <v>48.095285666000599</v>
      </c>
      <c r="Q35" s="2"/>
      <c r="R35" s="2"/>
      <c r="S35" s="2"/>
      <c r="T35" s="2"/>
      <c r="U35" s="2"/>
      <c r="V35" s="2"/>
      <c r="W35" s="2"/>
      <c r="X35" s="2"/>
      <c r="Y35" s="3">
        <v>48.084562958000802</v>
      </c>
      <c r="Z35" s="3">
        <v>48.095285666000599</v>
      </c>
      <c r="AA35" s="3">
        <v>48.571755375000102</v>
      </c>
      <c r="AB35" s="3">
        <v>48.571755375000102</v>
      </c>
      <c r="AC35" s="3">
        <v>48.571755375000102</v>
      </c>
      <c r="AD35" s="3">
        <v>49.7800734160001</v>
      </c>
      <c r="AE35" s="3" t="s">
        <v>56</v>
      </c>
      <c r="AF35" s="3">
        <v>1</v>
      </c>
      <c r="AG35" s="3">
        <v>1.2048624159997401</v>
      </c>
      <c r="AH35" s="3" t="s">
        <v>48</v>
      </c>
      <c r="AI35" s="2"/>
      <c r="AJ35" s="2"/>
      <c r="AK35" s="2"/>
      <c r="AL35" s="2"/>
      <c r="AM35" s="2"/>
      <c r="AN35" s="3">
        <v>1</v>
      </c>
      <c r="AO35" s="3">
        <v>1</v>
      </c>
      <c r="AP35" s="3" t="s">
        <v>49</v>
      </c>
      <c r="AQ35" s="3" t="s">
        <v>50</v>
      </c>
      <c r="AR35" s="2"/>
      <c r="AS35" s="3" t="s">
        <v>51</v>
      </c>
      <c r="AT35" s="3">
        <v>119.60828287325999</v>
      </c>
      <c r="AU35" s="3" t="s">
        <v>52</v>
      </c>
      <c r="AV35" s="2"/>
    </row>
    <row r="36" spans="1:48" x14ac:dyDescent="0.2">
      <c r="A36" s="1" t="s">
        <v>60</v>
      </c>
      <c r="B36" s="3" t="s">
        <v>57</v>
      </c>
      <c r="C36" s="3" t="s">
        <v>55</v>
      </c>
      <c r="D36" s="3" t="s">
        <v>59</v>
      </c>
      <c r="E36" s="3">
        <v>30</v>
      </c>
      <c r="F36" s="3">
        <v>2</v>
      </c>
      <c r="G36" s="3">
        <v>7</v>
      </c>
      <c r="H36" s="3" t="s">
        <v>59</v>
      </c>
      <c r="I36" s="3">
        <v>1</v>
      </c>
      <c r="J36" s="3">
        <v>1.0068809170006701</v>
      </c>
      <c r="K36" s="3" t="s">
        <v>48</v>
      </c>
      <c r="L36" s="3">
        <v>7</v>
      </c>
      <c r="M36" s="3">
        <v>2</v>
      </c>
      <c r="N36" s="3">
        <v>30</v>
      </c>
      <c r="O36" s="3">
        <v>1</v>
      </c>
      <c r="P36" s="3">
        <v>52.414285041000802</v>
      </c>
      <c r="Q36" s="2"/>
      <c r="R36" s="2"/>
      <c r="S36" s="2"/>
      <c r="T36" s="2"/>
      <c r="U36" s="2"/>
      <c r="V36" s="2"/>
      <c r="W36" s="2"/>
      <c r="X36" s="2"/>
      <c r="Y36" s="3">
        <v>52.402949500000403</v>
      </c>
      <c r="Z36" s="3">
        <v>52.414285041000802</v>
      </c>
      <c r="AA36" s="3">
        <v>52.896779208000197</v>
      </c>
      <c r="AB36" s="3">
        <v>52.896779208000197</v>
      </c>
      <c r="AC36" s="3">
        <v>52.896779208000197</v>
      </c>
      <c r="AD36" s="3">
        <v>53.907505791000403</v>
      </c>
      <c r="AE36" s="3" t="s">
        <v>59</v>
      </c>
      <c r="AF36" s="3">
        <v>1</v>
      </c>
      <c r="AG36" s="3">
        <v>1.0068809170006701</v>
      </c>
      <c r="AH36" s="3" t="s">
        <v>48</v>
      </c>
      <c r="AI36" s="2"/>
      <c r="AJ36" s="2"/>
      <c r="AK36" s="2"/>
      <c r="AL36" s="2"/>
      <c r="AM36" s="2"/>
      <c r="AN36" s="3">
        <v>1</v>
      </c>
      <c r="AO36" s="3">
        <v>1</v>
      </c>
      <c r="AP36" s="3" t="s">
        <v>49</v>
      </c>
      <c r="AQ36" s="3" t="s">
        <v>50</v>
      </c>
      <c r="AR36" s="2"/>
      <c r="AS36" s="3" t="s">
        <v>51</v>
      </c>
      <c r="AT36" s="3">
        <v>119.60828287325999</v>
      </c>
      <c r="AU36" s="3" t="s">
        <v>52</v>
      </c>
      <c r="AV36" s="2"/>
    </row>
    <row r="37" spans="1:48" x14ac:dyDescent="0.2">
      <c r="A37" s="1" t="s">
        <v>53</v>
      </c>
      <c r="B37" s="3" t="s">
        <v>54</v>
      </c>
      <c r="C37" s="3" t="s">
        <v>55</v>
      </c>
      <c r="D37" s="3" t="s">
        <v>56</v>
      </c>
      <c r="E37" s="3">
        <v>31</v>
      </c>
      <c r="F37" s="3">
        <v>3</v>
      </c>
      <c r="G37" s="3">
        <v>7</v>
      </c>
      <c r="H37" s="3" t="s">
        <v>56</v>
      </c>
      <c r="I37" s="3">
        <v>1</v>
      </c>
      <c r="J37" s="3">
        <v>1.4557997909996601</v>
      </c>
      <c r="K37" s="3" t="s">
        <v>48</v>
      </c>
      <c r="L37" s="3">
        <v>7</v>
      </c>
      <c r="M37" s="3">
        <v>3</v>
      </c>
      <c r="N37" s="3">
        <v>31</v>
      </c>
      <c r="O37" s="3">
        <v>2</v>
      </c>
      <c r="P37" s="3">
        <v>53.923727750000602</v>
      </c>
      <c r="Q37" s="2"/>
      <c r="R37" s="2"/>
      <c r="S37" s="2"/>
      <c r="T37" s="2"/>
      <c r="U37" s="2"/>
      <c r="V37" s="2"/>
      <c r="W37" s="2"/>
      <c r="X37" s="2"/>
      <c r="Y37" s="3">
        <v>53.912095250000696</v>
      </c>
      <c r="Z37" s="3">
        <v>53.923727750000602</v>
      </c>
      <c r="AA37" s="3">
        <v>54.407718875000697</v>
      </c>
      <c r="AB37" s="3">
        <v>54.407718875000697</v>
      </c>
      <c r="AC37" s="3">
        <v>54.407718875000697</v>
      </c>
      <c r="AD37" s="3">
        <v>55.874272708000703</v>
      </c>
      <c r="AE37" s="3" t="s">
        <v>56</v>
      </c>
      <c r="AF37" s="3">
        <v>1</v>
      </c>
      <c r="AG37" s="3">
        <v>1.4557997909996601</v>
      </c>
      <c r="AH37" s="3" t="s">
        <v>48</v>
      </c>
      <c r="AI37" s="2"/>
      <c r="AJ37" s="2"/>
      <c r="AK37" s="2"/>
      <c r="AL37" s="2"/>
      <c r="AM37" s="2"/>
      <c r="AN37" s="3">
        <v>1</v>
      </c>
      <c r="AO37" s="3">
        <v>1</v>
      </c>
      <c r="AP37" s="3" t="s">
        <v>49</v>
      </c>
      <c r="AQ37" s="3" t="s">
        <v>50</v>
      </c>
      <c r="AR37" s="2"/>
      <c r="AS37" s="3" t="s">
        <v>51</v>
      </c>
      <c r="AT37" s="3">
        <v>119.60828287325999</v>
      </c>
      <c r="AU37" s="3" t="s">
        <v>52</v>
      </c>
      <c r="AV37" s="2"/>
    </row>
    <row r="38" spans="1:48" x14ac:dyDescent="0.2">
      <c r="A38" s="1" t="s">
        <v>60</v>
      </c>
      <c r="B38" s="3" t="s">
        <v>57</v>
      </c>
      <c r="C38" s="3" t="s">
        <v>55</v>
      </c>
      <c r="D38" s="3" t="s">
        <v>59</v>
      </c>
      <c r="E38" s="3">
        <v>32</v>
      </c>
      <c r="F38" s="3">
        <v>0</v>
      </c>
      <c r="G38" s="3">
        <v>8</v>
      </c>
      <c r="H38" s="3" t="s">
        <v>59</v>
      </c>
      <c r="I38" s="3">
        <v>1</v>
      </c>
      <c r="J38" s="3">
        <v>0.917464499000744</v>
      </c>
      <c r="K38" s="3" t="s">
        <v>48</v>
      </c>
      <c r="L38" s="3">
        <v>8</v>
      </c>
      <c r="M38" s="3">
        <v>0</v>
      </c>
      <c r="N38" s="3">
        <v>32</v>
      </c>
      <c r="O38" s="3">
        <v>1</v>
      </c>
      <c r="P38" s="3">
        <v>55.891171208000699</v>
      </c>
      <c r="Q38" s="2"/>
      <c r="R38" s="2"/>
      <c r="S38" s="2"/>
      <c r="T38" s="2"/>
      <c r="U38" s="2"/>
      <c r="V38" s="2"/>
      <c r="W38" s="2"/>
      <c r="X38" s="2"/>
      <c r="Y38" s="3">
        <v>55.879764541000398</v>
      </c>
      <c r="Z38" s="3">
        <v>55.891171208000699</v>
      </c>
      <c r="AA38" s="3">
        <v>56.372157250000797</v>
      </c>
      <c r="AB38" s="3">
        <v>56.372157250000797</v>
      </c>
      <c r="AC38" s="3">
        <v>56.372157250000797</v>
      </c>
      <c r="AD38" s="3">
        <v>57.302087125000099</v>
      </c>
      <c r="AE38" s="3" t="s">
        <v>59</v>
      </c>
      <c r="AF38" s="3">
        <v>1</v>
      </c>
      <c r="AG38" s="3">
        <v>0.917464499000744</v>
      </c>
      <c r="AH38" s="3" t="s">
        <v>48</v>
      </c>
      <c r="AI38" s="2"/>
      <c r="AJ38" s="2"/>
      <c r="AK38" s="2"/>
      <c r="AL38" s="2"/>
      <c r="AM38" s="2"/>
      <c r="AN38" s="3">
        <v>1</v>
      </c>
      <c r="AO38" s="3">
        <v>1</v>
      </c>
      <c r="AP38" s="3" t="s">
        <v>49</v>
      </c>
      <c r="AQ38" s="3" t="s">
        <v>50</v>
      </c>
      <c r="AR38" s="2"/>
      <c r="AS38" s="3" t="s">
        <v>51</v>
      </c>
      <c r="AT38" s="3">
        <v>119.60828287325999</v>
      </c>
      <c r="AU38" s="3" t="s">
        <v>52</v>
      </c>
      <c r="AV38" s="2"/>
    </row>
    <row r="39" spans="1:48" x14ac:dyDescent="0.2">
      <c r="A39" s="1" t="s">
        <v>53</v>
      </c>
      <c r="B39" s="3" t="s">
        <v>54</v>
      </c>
      <c r="C39" s="3" t="s">
        <v>55</v>
      </c>
      <c r="D39" s="3" t="s">
        <v>56</v>
      </c>
      <c r="E39" s="3">
        <v>33</v>
      </c>
      <c r="F39" s="3">
        <v>1</v>
      </c>
      <c r="G39" s="3">
        <v>8</v>
      </c>
      <c r="H39" s="3" t="s">
        <v>56</v>
      </c>
      <c r="I39" s="3">
        <v>1</v>
      </c>
      <c r="J39" s="3">
        <v>1.34452466600033</v>
      </c>
      <c r="K39" s="3" t="s">
        <v>48</v>
      </c>
      <c r="L39" s="3">
        <v>8</v>
      </c>
      <c r="M39" s="3">
        <v>1</v>
      </c>
      <c r="N39" s="3">
        <v>33</v>
      </c>
      <c r="O39" s="3">
        <v>2</v>
      </c>
      <c r="P39" s="3">
        <v>57.312877625000503</v>
      </c>
      <c r="Q39" s="2"/>
      <c r="R39" s="2"/>
      <c r="S39" s="2"/>
      <c r="T39" s="2"/>
      <c r="U39" s="2"/>
      <c r="V39" s="2"/>
      <c r="W39" s="2"/>
      <c r="X39" s="2"/>
      <c r="Y39" s="3">
        <v>57.3053733750003</v>
      </c>
      <c r="Z39" s="3">
        <v>57.312877625000503</v>
      </c>
      <c r="AA39" s="3">
        <v>57.795950624999897</v>
      </c>
      <c r="AB39" s="3">
        <v>57.795950624999897</v>
      </c>
      <c r="AC39" s="3">
        <v>57.795950624999897</v>
      </c>
      <c r="AD39" s="3">
        <v>59.147190416000697</v>
      </c>
      <c r="AE39" s="3" t="s">
        <v>56</v>
      </c>
      <c r="AF39" s="3">
        <v>1</v>
      </c>
      <c r="AG39" s="3">
        <v>1.34452466600033</v>
      </c>
      <c r="AH39" s="3" t="s">
        <v>48</v>
      </c>
      <c r="AI39" s="2"/>
      <c r="AJ39" s="2"/>
      <c r="AK39" s="2"/>
      <c r="AL39" s="2"/>
      <c r="AM39" s="2"/>
      <c r="AN39" s="3">
        <v>1</v>
      </c>
      <c r="AO39" s="3">
        <v>1</v>
      </c>
      <c r="AP39" s="3" t="s">
        <v>49</v>
      </c>
      <c r="AQ39" s="3" t="s">
        <v>50</v>
      </c>
      <c r="AR39" s="2"/>
      <c r="AS39" s="3" t="s">
        <v>51</v>
      </c>
      <c r="AT39" s="3">
        <v>119.60828287325999</v>
      </c>
      <c r="AU39" s="3" t="s">
        <v>52</v>
      </c>
      <c r="AV39" s="2"/>
    </row>
    <row r="40" spans="1:48" x14ac:dyDescent="0.2">
      <c r="A40" s="1" t="s">
        <v>53</v>
      </c>
      <c r="B40" s="3" t="s">
        <v>54</v>
      </c>
      <c r="C40" s="3" t="s">
        <v>55</v>
      </c>
      <c r="D40" s="3" t="s">
        <v>56</v>
      </c>
      <c r="E40" s="3">
        <v>37</v>
      </c>
      <c r="F40" s="3">
        <v>1</v>
      </c>
      <c r="G40" s="3">
        <v>9</v>
      </c>
      <c r="H40" s="3" t="s">
        <v>56</v>
      </c>
      <c r="I40" s="3">
        <v>1</v>
      </c>
      <c r="J40" s="3">
        <v>1.1862854579994699</v>
      </c>
      <c r="K40" s="3" t="s">
        <v>48</v>
      </c>
      <c r="L40" s="3">
        <v>9</v>
      </c>
      <c r="M40" s="3">
        <v>1</v>
      </c>
      <c r="N40" s="3">
        <v>37</v>
      </c>
      <c r="O40" s="3">
        <v>2</v>
      </c>
      <c r="P40" s="3">
        <v>63.137515291000497</v>
      </c>
      <c r="Q40" s="2"/>
      <c r="R40" s="2"/>
      <c r="S40" s="2"/>
      <c r="T40" s="2"/>
      <c r="U40" s="2"/>
      <c r="V40" s="2"/>
      <c r="W40" s="2"/>
      <c r="X40" s="2"/>
      <c r="Y40" s="3">
        <v>63.1255968330006</v>
      </c>
      <c r="Z40" s="3">
        <v>63.137515291000497</v>
      </c>
      <c r="AA40" s="3">
        <v>63.622264666000802</v>
      </c>
      <c r="AB40" s="3">
        <v>63.622264666000802</v>
      </c>
      <c r="AC40" s="3">
        <v>63.622264666000802</v>
      </c>
      <c r="AD40" s="3">
        <v>64.814195333000498</v>
      </c>
      <c r="AE40" s="3" t="s">
        <v>56</v>
      </c>
      <c r="AF40" s="3">
        <v>1</v>
      </c>
      <c r="AG40" s="3">
        <v>1.1862854579994699</v>
      </c>
      <c r="AH40" s="3" t="s">
        <v>48</v>
      </c>
      <c r="AI40" s="2"/>
      <c r="AJ40" s="2"/>
      <c r="AK40" s="2"/>
      <c r="AL40" s="2"/>
      <c r="AM40" s="2"/>
      <c r="AN40" s="3">
        <v>1</v>
      </c>
      <c r="AO40" s="3">
        <v>1</v>
      </c>
      <c r="AP40" s="3" t="s">
        <v>49</v>
      </c>
      <c r="AQ40" s="3" t="s">
        <v>50</v>
      </c>
      <c r="AR40" s="2"/>
      <c r="AS40" s="3" t="s">
        <v>51</v>
      </c>
      <c r="AT40" s="3">
        <v>119.60828287325999</v>
      </c>
      <c r="AU40" s="3" t="s">
        <v>52</v>
      </c>
      <c r="AV40" s="2"/>
    </row>
    <row r="41" spans="1:48" x14ac:dyDescent="0.2">
      <c r="A41" s="1" t="s">
        <v>60</v>
      </c>
      <c r="B41" s="3" t="s">
        <v>57</v>
      </c>
      <c r="C41" s="3" t="s">
        <v>55</v>
      </c>
      <c r="D41" s="3" t="s">
        <v>59</v>
      </c>
      <c r="E41" s="3">
        <v>38</v>
      </c>
      <c r="F41" s="3">
        <v>2</v>
      </c>
      <c r="G41" s="3">
        <v>9</v>
      </c>
      <c r="H41" s="3" t="s">
        <v>59</v>
      </c>
      <c r="I41" s="3">
        <v>1</v>
      </c>
      <c r="J41" s="3">
        <v>0.85869829100010997</v>
      </c>
      <c r="K41" s="3" t="s">
        <v>48</v>
      </c>
      <c r="L41" s="3">
        <v>9</v>
      </c>
      <c r="M41" s="3">
        <v>2</v>
      </c>
      <c r="N41" s="3">
        <v>38</v>
      </c>
      <c r="O41" s="3">
        <v>1</v>
      </c>
      <c r="P41" s="3">
        <v>64.829689958000003</v>
      </c>
      <c r="Q41" s="2"/>
      <c r="R41" s="2"/>
      <c r="S41" s="2"/>
      <c r="T41" s="2"/>
      <c r="U41" s="2"/>
      <c r="V41" s="2"/>
      <c r="W41" s="2"/>
      <c r="X41" s="2"/>
      <c r="Y41" s="3">
        <v>64.819178625000006</v>
      </c>
      <c r="Z41" s="3">
        <v>64.829689958000003</v>
      </c>
      <c r="AA41" s="3">
        <v>65.304883500000003</v>
      </c>
      <c r="AB41" s="3">
        <v>65.304883500000003</v>
      </c>
      <c r="AC41" s="3">
        <v>65.304883500000003</v>
      </c>
      <c r="AD41" s="3">
        <v>66.174762750000795</v>
      </c>
      <c r="AE41" s="3" t="s">
        <v>59</v>
      </c>
      <c r="AF41" s="3">
        <v>1</v>
      </c>
      <c r="AG41" s="3">
        <v>0.85869829100010997</v>
      </c>
      <c r="AH41" s="3" t="s">
        <v>48</v>
      </c>
      <c r="AI41" s="2"/>
      <c r="AJ41" s="2"/>
      <c r="AK41" s="2"/>
      <c r="AL41" s="2"/>
      <c r="AM41" s="2"/>
      <c r="AN41" s="3">
        <v>1</v>
      </c>
      <c r="AO41" s="3">
        <v>1</v>
      </c>
      <c r="AP41" s="3" t="s">
        <v>49</v>
      </c>
      <c r="AQ41" s="3" t="s">
        <v>50</v>
      </c>
      <c r="AR41" s="2"/>
      <c r="AS41" s="3" t="s">
        <v>51</v>
      </c>
      <c r="AT41" s="3">
        <v>119.60828287325999</v>
      </c>
      <c r="AU41" s="3" t="s">
        <v>52</v>
      </c>
      <c r="AV41" s="2"/>
    </row>
    <row r="42" spans="1:48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>
        <v>9.6325829999841499E-3</v>
      </c>
      <c r="S42" s="3">
        <v>2.4864875000275798E-2</v>
      </c>
      <c r="T42" s="3">
        <v>2.4864875000275798E-2</v>
      </c>
      <c r="U42" s="3">
        <v>2.6220009580001702</v>
      </c>
      <c r="V42" s="3" t="s">
        <v>47</v>
      </c>
      <c r="W42" s="3">
        <v>2.3510804580000699</v>
      </c>
      <c r="X42" s="3" t="s">
        <v>48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3">
        <v>1</v>
      </c>
      <c r="AO42" s="3">
        <v>1</v>
      </c>
      <c r="AP42" s="3" t="s">
        <v>49</v>
      </c>
      <c r="AQ42" s="3" t="s">
        <v>50</v>
      </c>
      <c r="AR42" s="2"/>
      <c r="AS42" s="3" t="s">
        <v>51</v>
      </c>
      <c r="AT42" s="3">
        <v>119.60828287325999</v>
      </c>
      <c r="AU42" s="3" t="s">
        <v>52</v>
      </c>
      <c r="AV42" s="2"/>
    </row>
    <row r="43" spans="1:48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3">
        <v>67.397155708000398</v>
      </c>
      <c r="AK43" s="3">
        <v>67.407714416000104</v>
      </c>
      <c r="AL43" s="3">
        <v>68.389831708000202</v>
      </c>
      <c r="AM43" s="3">
        <v>68.379911000000007</v>
      </c>
      <c r="AN43" s="3">
        <v>1</v>
      </c>
      <c r="AO43" s="3">
        <v>1</v>
      </c>
      <c r="AP43" s="3" t="s">
        <v>49</v>
      </c>
      <c r="AQ43" s="3" t="s">
        <v>50</v>
      </c>
      <c r="AR43" s="2"/>
      <c r="AS43" s="3" t="s">
        <v>51</v>
      </c>
      <c r="AT43" s="3">
        <v>119.60828287325999</v>
      </c>
      <c r="AU43" s="3" t="s">
        <v>52</v>
      </c>
      <c r="AV43" s="2"/>
    </row>
    <row r="44" spans="1:48" x14ac:dyDescent="0.2">
      <c r="E44" s="4" t="s">
        <v>72</v>
      </c>
      <c r="F44" s="4"/>
      <c r="G44" s="4"/>
      <c r="H44" s="4"/>
      <c r="I44" s="4"/>
    </row>
    <row r="45" spans="1:48" x14ac:dyDescent="0.2">
      <c r="F45" t="s">
        <v>69</v>
      </c>
      <c r="G45" t="s">
        <v>70</v>
      </c>
      <c r="H45" t="s">
        <v>71</v>
      </c>
      <c r="I45" t="s">
        <v>73</v>
      </c>
      <c r="J45" t="s">
        <v>74</v>
      </c>
    </row>
    <row r="46" spans="1:48" x14ac:dyDescent="0.2">
      <c r="E46" t="s">
        <v>67</v>
      </c>
      <c r="F46">
        <f>AVERAGE(AG2:AG21)</f>
        <v>1.0748021850000442</v>
      </c>
      <c r="G46">
        <v>1.0601728399999999</v>
      </c>
      <c r="H46">
        <v>0.92142115000000002</v>
      </c>
      <c r="I46">
        <v>0.77483029999999997</v>
      </c>
      <c r="J46">
        <f>AVERAGE(F46,G46,H46,I46)</f>
        <v>0.95780661875001105</v>
      </c>
    </row>
    <row r="47" spans="1:48" x14ac:dyDescent="0.2">
      <c r="E47" t="s">
        <v>68</v>
      </c>
      <c r="F47">
        <f>AVERAGE(AG22:AG41)</f>
        <v>1.1773751091579086</v>
      </c>
      <c r="G47">
        <v>1.25162449</v>
      </c>
      <c r="H47">
        <v>1.07443198</v>
      </c>
      <c r="I47">
        <v>0.69938697000000005</v>
      </c>
      <c r="J47">
        <f>AVERAGE(F47,G47,H47,I47)</f>
        <v>1.0507046372894771</v>
      </c>
    </row>
  </sheetData>
  <autoFilter ref="A1:AV1" xr:uid="{F7120551-9673-CD44-A5E5-6AB83E369308}">
    <sortState xmlns:xlrd2="http://schemas.microsoft.com/office/spreadsheetml/2017/richdata2" ref="A2:AV43">
      <sortCondition ref="C1:C43"/>
    </sortState>
  </autoFilter>
  <mergeCells count="1">
    <mergeCell ref="E44:I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E36A-14D7-F44A-AB67-FB00B82A8B91}">
  <dimension ref="A1:AV55"/>
  <sheetViews>
    <sheetView topLeftCell="AA26" workbookViewId="0">
      <selection activeCell="AL53" sqref="AL53"/>
    </sheetView>
  </sheetViews>
  <sheetFormatPr baseColWidth="10" defaultRowHeight="16" x14ac:dyDescent="0.2"/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/>
    </row>
    <row r="2" spans="1:48" x14ac:dyDescent="0.2">
      <c r="A2" s="1" t="s">
        <v>53</v>
      </c>
      <c r="B2" s="3" t="s">
        <v>57</v>
      </c>
      <c r="C2" s="3" t="s">
        <v>58</v>
      </c>
      <c r="D2" s="3" t="s">
        <v>59</v>
      </c>
      <c r="E2" s="3">
        <v>2</v>
      </c>
      <c r="F2" s="3">
        <v>2</v>
      </c>
      <c r="G2" s="3">
        <v>0</v>
      </c>
      <c r="H2" s="3" t="s">
        <v>59</v>
      </c>
      <c r="I2" s="3">
        <v>1</v>
      </c>
      <c r="J2" s="3">
        <v>0.65779945800022699</v>
      </c>
      <c r="K2" s="3" t="s">
        <v>48</v>
      </c>
      <c r="L2" s="3">
        <v>0</v>
      </c>
      <c r="M2" s="3">
        <v>2</v>
      </c>
      <c r="N2" s="3">
        <v>2</v>
      </c>
      <c r="O2" s="3">
        <v>3</v>
      </c>
      <c r="P2" s="3">
        <v>7.2324776250006799</v>
      </c>
      <c r="Q2" s="2"/>
      <c r="R2" s="2"/>
      <c r="S2" s="2"/>
      <c r="T2" s="2"/>
      <c r="U2" s="2"/>
      <c r="V2" s="2"/>
      <c r="W2" s="2"/>
      <c r="X2" s="2"/>
      <c r="Y2" s="3">
        <v>7.2216474580000103</v>
      </c>
      <c r="Z2" s="3">
        <v>7.2324776250006799</v>
      </c>
      <c r="AA2" s="3">
        <v>7.7099152500004502</v>
      </c>
      <c r="AB2" s="3">
        <v>7.7099152500004502</v>
      </c>
      <c r="AC2" s="3">
        <v>7.7099152500004502</v>
      </c>
      <c r="AD2" s="3">
        <v>8.3790126670001008</v>
      </c>
      <c r="AE2" s="3" t="s">
        <v>59</v>
      </c>
      <c r="AF2" s="3">
        <v>1</v>
      </c>
      <c r="AG2" s="3">
        <v>0.65779945800022699</v>
      </c>
      <c r="AH2" s="3" t="s">
        <v>48</v>
      </c>
      <c r="AI2" s="2"/>
      <c r="AJ2" s="2"/>
      <c r="AK2" s="2"/>
      <c r="AL2" s="2"/>
      <c r="AM2" s="2"/>
      <c r="AN2" s="3">
        <v>2</v>
      </c>
      <c r="AO2" s="3">
        <v>1</v>
      </c>
      <c r="AP2" s="3" t="s">
        <v>61</v>
      </c>
      <c r="AQ2" s="3" t="s">
        <v>50</v>
      </c>
      <c r="AR2" s="2"/>
      <c r="AS2" s="3" t="s">
        <v>51</v>
      </c>
      <c r="AT2" s="3" t="s">
        <v>48</v>
      </c>
      <c r="AU2" s="3" t="s">
        <v>62</v>
      </c>
      <c r="AV2" s="2"/>
    </row>
    <row r="3" spans="1:48" x14ac:dyDescent="0.2">
      <c r="A3" s="1" t="s">
        <v>60</v>
      </c>
      <c r="B3" s="3" t="s">
        <v>54</v>
      </c>
      <c r="C3" s="3" t="s">
        <v>58</v>
      </c>
      <c r="D3" s="3" t="s">
        <v>56</v>
      </c>
      <c r="E3" s="3">
        <v>3</v>
      </c>
      <c r="F3" s="3">
        <v>3</v>
      </c>
      <c r="G3" s="3">
        <v>0</v>
      </c>
      <c r="H3" s="3" t="s">
        <v>56</v>
      </c>
      <c r="I3" s="3">
        <v>1</v>
      </c>
      <c r="J3" s="3">
        <v>1.24738104100015</v>
      </c>
      <c r="K3" s="3" t="s">
        <v>48</v>
      </c>
      <c r="L3" s="3">
        <v>0</v>
      </c>
      <c r="M3" s="3">
        <v>3</v>
      </c>
      <c r="N3" s="3">
        <v>3</v>
      </c>
      <c r="O3" s="3">
        <v>0</v>
      </c>
      <c r="P3" s="3">
        <v>8.4105945420005792</v>
      </c>
      <c r="Q3" s="2"/>
      <c r="R3" s="2"/>
      <c r="S3" s="2"/>
      <c r="T3" s="2"/>
      <c r="U3" s="2"/>
      <c r="V3" s="2"/>
      <c r="W3" s="2"/>
      <c r="X3" s="2"/>
      <c r="Y3" s="3">
        <v>8.3845254580001001</v>
      </c>
      <c r="Z3" s="3">
        <v>8.4105945420005792</v>
      </c>
      <c r="AA3" s="3">
        <v>8.8934272920005206</v>
      </c>
      <c r="AB3" s="3">
        <v>8.8934272920005206</v>
      </c>
      <c r="AC3" s="3">
        <v>8.8934272920005206</v>
      </c>
      <c r="AD3" s="3">
        <v>10.1450964579999</v>
      </c>
      <c r="AE3" s="3" t="s">
        <v>56</v>
      </c>
      <c r="AF3" s="3">
        <v>1</v>
      </c>
      <c r="AG3" s="3">
        <v>1.24738104100015</v>
      </c>
      <c r="AH3" s="3" t="s">
        <v>48</v>
      </c>
      <c r="AI3" s="2"/>
      <c r="AJ3" s="2"/>
      <c r="AK3" s="2"/>
      <c r="AL3" s="2"/>
      <c r="AM3" s="2"/>
      <c r="AN3" s="3">
        <v>2</v>
      </c>
      <c r="AO3" s="3">
        <v>1</v>
      </c>
      <c r="AP3" s="3" t="s">
        <v>61</v>
      </c>
      <c r="AQ3" s="3" t="s">
        <v>50</v>
      </c>
      <c r="AR3" s="2"/>
      <c r="AS3" s="3" t="s">
        <v>51</v>
      </c>
      <c r="AT3" s="3" t="s">
        <v>48</v>
      </c>
      <c r="AU3" s="3" t="s">
        <v>62</v>
      </c>
      <c r="AV3" s="2"/>
    </row>
    <row r="4" spans="1:48" x14ac:dyDescent="0.2">
      <c r="A4" s="1" t="s">
        <v>60</v>
      </c>
      <c r="B4" s="3" t="s">
        <v>54</v>
      </c>
      <c r="C4" s="3" t="s">
        <v>58</v>
      </c>
      <c r="D4" s="3" t="s">
        <v>56</v>
      </c>
      <c r="E4" s="3">
        <v>5</v>
      </c>
      <c r="F4" s="3">
        <v>1</v>
      </c>
      <c r="G4" s="3">
        <v>1</v>
      </c>
      <c r="H4" s="3" t="s">
        <v>56</v>
      </c>
      <c r="I4" s="3">
        <v>1</v>
      </c>
      <c r="J4" s="3">
        <v>0.79451920800056497</v>
      </c>
      <c r="K4" s="3" t="s">
        <v>48</v>
      </c>
      <c r="L4" s="3">
        <v>1</v>
      </c>
      <c r="M4" s="3">
        <v>1</v>
      </c>
      <c r="N4" s="3">
        <v>5</v>
      </c>
      <c r="O4" s="3">
        <v>0</v>
      </c>
      <c r="P4" s="3">
        <v>11.7452143750006</v>
      </c>
      <c r="Q4" s="2"/>
      <c r="R4" s="2"/>
      <c r="S4" s="2"/>
      <c r="T4" s="2"/>
      <c r="U4" s="2"/>
      <c r="V4" s="2"/>
      <c r="W4" s="2"/>
      <c r="X4" s="2"/>
      <c r="Y4" s="3">
        <v>11.733663083000501</v>
      </c>
      <c r="Z4" s="3">
        <v>11.7452143750006</v>
      </c>
      <c r="AA4" s="3">
        <v>12.2263861669999</v>
      </c>
      <c r="AB4" s="3">
        <v>12.2263861669999</v>
      </c>
      <c r="AC4" s="3">
        <v>12.2263861669999</v>
      </c>
      <c r="AD4" s="3">
        <v>13.0289453330006</v>
      </c>
      <c r="AE4" s="3" t="s">
        <v>56</v>
      </c>
      <c r="AF4" s="3">
        <v>1</v>
      </c>
      <c r="AG4" s="3">
        <v>0.79451920800056497</v>
      </c>
      <c r="AH4" s="3" t="s">
        <v>48</v>
      </c>
      <c r="AI4" s="2"/>
      <c r="AJ4" s="2"/>
      <c r="AK4" s="2"/>
      <c r="AL4" s="2"/>
      <c r="AM4" s="2"/>
      <c r="AN4" s="3">
        <v>2</v>
      </c>
      <c r="AO4" s="3">
        <v>1</v>
      </c>
      <c r="AP4" s="3" t="s">
        <v>61</v>
      </c>
      <c r="AQ4" s="3" t="s">
        <v>50</v>
      </c>
      <c r="AR4" s="2"/>
      <c r="AS4" s="3" t="s">
        <v>51</v>
      </c>
      <c r="AT4" s="3" t="s">
        <v>48</v>
      </c>
      <c r="AU4" s="3" t="s">
        <v>62</v>
      </c>
      <c r="AV4" s="2"/>
    </row>
    <row r="5" spans="1:48" x14ac:dyDescent="0.2">
      <c r="A5" s="1" t="s">
        <v>53</v>
      </c>
      <c r="B5" s="3" t="s">
        <v>57</v>
      </c>
      <c r="C5" s="3" t="s">
        <v>58</v>
      </c>
      <c r="D5" s="3" t="s">
        <v>59</v>
      </c>
      <c r="E5" s="3">
        <v>6</v>
      </c>
      <c r="F5" s="3">
        <v>2</v>
      </c>
      <c r="G5" s="3">
        <v>1</v>
      </c>
      <c r="H5" s="3" t="s">
        <v>59</v>
      </c>
      <c r="I5" s="3">
        <v>1</v>
      </c>
      <c r="J5" s="3">
        <v>0.98244658299972798</v>
      </c>
      <c r="K5" s="3" t="s">
        <v>48</v>
      </c>
      <c r="L5" s="3">
        <v>1</v>
      </c>
      <c r="M5" s="3">
        <v>2</v>
      </c>
      <c r="N5" s="3">
        <v>6</v>
      </c>
      <c r="O5" s="3">
        <v>3</v>
      </c>
      <c r="P5" s="3">
        <v>13.0456496249999</v>
      </c>
      <c r="Q5" s="2"/>
      <c r="R5" s="2"/>
      <c r="S5" s="2"/>
      <c r="T5" s="2"/>
      <c r="U5" s="2"/>
      <c r="V5" s="2"/>
      <c r="W5" s="2"/>
      <c r="X5" s="2"/>
      <c r="Y5" s="3">
        <v>13.0337944580006</v>
      </c>
      <c r="Z5" s="3">
        <v>13.0456496249999</v>
      </c>
      <c r="AA5" s="3">
        <v>13.526456542000201</v>
      </c>
      <c r="AB5" s="3">
        <v>13.526456542000201</v>
      </c>
      <c r="AC5" s="3">
        <v>13.526456542000201</v>
      </c>
      <c r="AD5" s="3">
        <v>14.511628000000201</v>
      </c>
      <c r="AE5" s="3" t="s">
        <v>59</v>
      </c>
      <c r="AF5" s="3">
        <v>1</v>
      </c>
      <c r="AG5" s="3">
        <v>0.98244658299972798</v>
      </c>
      <c r="AH5" s="3" t="s">
        <v>48</v>
      </c>
      <c r="AI5" s="2"/>
      <c r="AJ5" s="2"/>
      <c r="AK5" s="2"/>
      <c r="AL5" s="2"/>
      <c r="AM5" s="2"/>
      <c r="AN5" s="3">
        <v>2</v>
      </c>
      <c r="AO5" s="3">
        <v>1</v>
      </c>
      <c r="AP5" s="3" t="s">
        <v>61</v>
      </c>
      <c r="AQ5" s="3" t="s">
        <v>50</v>
      </c>
      <c r="AR5" s="2"/>
      <c r="AS5" s="3" t="s">
        <v>51</v>
      </c>
      <c r="AT5" s="3" t="s">
        <v>48</v>
      </c>
      <c r="AU5" s="3" t="s">
        <v>62</v>
      </c>
      <c r="AV5" s="2"/>
    </row>
    <row r="6" spans="1:48" x14ac:dyDescent="0.2">
      <c r="A6" s="1" t="s">
        <v>60</v>
      </c>
      <c r="B6" s="3" t="s">
        <v>54</v>
      </c>
      <c r="C6" s="3" t="s">
        <v>58</v>
      </c>
      <c r="D6" s="3" t="s">
        <v>56</v>
      </c>
      <c r="E6" s="3">
        <v>8</v>
      </c>
      <c r="F6" s="3">
        <v>0</v>
      </c>
      <c r="G6" s="3">
        <v>2</v>
      </c>
      <c r="H6" s="3" t="s">
        <v>56</v>
      </c>
      <c r="I6" s="3">
        <v>1</v>
      </c>
      <c r="J6" s="3">
        <v>1.1478364160002501</v>
      </c>
      <c r="K6" s="3" t="s">
        <v>48</v>
      </c>
      <c r="L6" s="3">
        <v>2</v>
      </c>
      <c r="M6" s="3">
        <v>0</v>
      </c>
      <c r="N6" s="3">
        <v>8</v>
      </c>
      <c r="O6" s="3">
        <v>0</v>
      </c>
      <c r="P6" s="3">
        <v>16.227031000000402</v>
      </c>
      <c r="Q6" s="2"/>
      <c r="R6" s="2"/>
      <c r="S6" s="2"/>
      <c r="T6" s="2"/>
      <c r="U6" s="2"/>
      <c r="V6" s="2"/>
      <c r="W6" s="2"/>
      <c r="X6" s="2"/>
      <c r="Y6" s="3">
        <v>16.2017789580004</v>
      </c>
      <c r="Z6" s="3">
        <v>16.227031000000402</v>
      </c>
      <c r="AA6" s="3">
        <v>16.6931574580003</v>
      </c>
      <c r="AB6" s="3">
        <v>16.6931574580003</v>
      </c>
      <c r="AC6" s="3">
        <v>16.6931574580003</v>
      </c>
      <c r="AD6" s="3">
        <v>17.845543958000199</v>
      </c>
      <c r="AE6" s="3" t="s">
        <v>56</v>
      </c>
      <c r="AF6" s="3">
        <v>1</v>
      </c>
      <c r="AG6" s="3">
        <v>1.1478364160002501</v>
      </c>
      <c r="AH6" s="3" t="s">
        <v>48</v>
      </c>
      <c r="AI6" s="2"/>
      <c r="AJ6" s="2"/>
      <c r="AK6" s="2"/>
      <c r="AL6" s="2"/>
      <c r="AM6" s="2"/>
      <c r="AN6" s="3">
        <v>2</v>
      </c>
      <c r="AO6" s="3">
        <v>1</v>
      </c>
      <c r="AP6" s="3" t="s">
        <v>61</v>
      </c>
      <c r="AQ6" s="3" t="s">
        <v>50</v>
      </c>
      <c r="AR6" s="2"/>
      <c r="AS6" s="3" t="s">
        <v>51</v>
      </c>
      <c r="AT6" s="3" t="s">
        <v>48</v>
      </c>
      <c r="AU6" s="3" t="s">
        <v>62</v>
      </c>
      <c r="AV6" s="2"/>
    </row>
    <row r="7" spans="1:48" x14ac:dyDescent="0.2">
      <c r="A7" s="1" t="s">
        <v>53</v>
      </c>
      <c r="B7" s="3" t="s">
        <v>57</v>
      </c>
      <c r="C7" s="3" t="s">
        <v>58</v>
      </c>
      <c r="D7" s="3" t="s">
        <v>59</v>
      </c>
      <c r="E7" s="3">
        <v>11</v>
      </c>
      <c r="F7" s="3">
        <v>3</v>
      </c>
      <c r="G7" s="3">
        <v>2</v>
      </c>
      <c r="H7" s="3" t="s">
        <v>59</v>
      </c>
      <c r="I7" s="3">
        <v>1</v>
      </c>
      <c r="J7" s="3">
        <v>0.63719699900047999</v>
      </c>
      <c r="K7" s="3" t="s">
        <v>48</v>
      </c>
      <c r="L7" s="3">
        <v>2</v>
      </c>
      <c r="M7" s="3">
        <v>3</v>
      </c>
      <c r="N7" s="3">
        <v>11</v>
      </c>
      <c r="O7" s="3">
        <v>3</v>
      </c>
      <c r="P7" s="3">
        <v>20.796164792000098</v>
      </c>
      <c r="Q7" s="2"/>
      <c r="R7" s="2"/>
      <c r="S7" s="2"/>
      <c r="T7" s="2"/>
      <c r="U7" s="2"/>
      <c r="V7" s="2"/>
      <c r="W7" s="2"/>
      <c r="X7" s="2"/>
      <c r="Y7" s="3">
        <v>20.784756083000499</v>
      </c>
      <c r="Z7" s="3">
        <v>20.796164792000098</v>
      </c>
      <c r="AA7" s="3">
        <v>21.275709375000599</v>
      </c>
      <c r="AB7" s="3">
        <v>21.275709375000599</v>
      </c>
      <c r="AC7" s="3">
        <v>21.275709375000599</v>
      </c>
      <c r="AD7" s="3">
        <v>21.918466583000701</v>
      </c>
      <c r="AE7" s="3" t="s">
        <v>59</v>
      </c>
      <c r="AF7" s="3">
        <v>1</v>
      </c>
      <c r="AG7" s="3">
        <v>0.63719699900047999</v>
      </c>
      <c r="AH7" s="3" t="s">
        <v>48</v>
      </c>
      <c r="AI7" s="2"/>
      <c r="AJ7" s="2"/>
      <c r="AK7" s="2"/>
      <c r="AL7" s="2"/>
      <c r="AM7" s="2"/>
      <c r="AN7" s="3">
        <v>2</v>
      </c>
      <c r="AO7" s="3">
        <v>1</v>
      </c>
      <c r="AP7" s="3" t="s">
        <v>61</v>
      </c>
      <c r="AQ7" s="3" t="s">
        <v>50</v>
      </c>
      <c r="AR7" s="2"/>
      <c r="AS7" s="3" t="s">
        <v>51</v>
      </c>
      <c r="AT7" s="3" t="s">
        <v>48</v>
      </c>
      <c r="AU7" s="3" t="s">
        <v>62</v>
      </c>
      <c r="AV7" s="2"/>
    </row>
    <row r="8" spans="1:48" x14ac:dyDescent="0.2">
      <c r="A8" s="1" t="s">
        <v>53</v>
      </c>
      <c r="B8" s="3" t="s">
        <v>57</v>
      </c>
      <c r="C8" s="3" t="s">
        <v>58</v>
      </c>
      <c r="D8" s="3" t="s">
        <v>59</v>
      </c>
      <c r="E8" s="3">
        <v>12</v>
      </c>
      <c r="F8" s="3">
        <v>0</v>
      </c>
      <c r="G8" s="3">
        <v>3</v>
      </c>
      <c r="H8" s="3" t="s">
        <v>59</v>
      </c>
      <c r="I8" s="3">
        <v>1</v>
      </c>
      <c r="J8" s="3">
        <v>0.68371720799950697</v>
      </c>
      <c r="K8" s="3" t="s">
        <v>48</v>
      </c>
      <c r="L8" s="3">
        <v>3</v>
      </c>
      <c r="M8" s="3">
        <v>0</v>
      </c>
      <c r="N8" s="3">
        <v>12</v>
      </c>
      <c r="O8" s="3">
        <v>3</v>
      </c>
      <c r="P8" s="3">
        <v>21.931811958000299</v>
      </c>
      <c r="Q8" s="2"/>
      <c r="R8" s="2"/>
      <c r="S8" s="2"/>
      <c r="T8" s="2"/>
      <c r="U8" s="2"/>
      <c r="V8" s="2"/>
      <c r="W8" s="2"/>
      <c r="X8" s="2"/>
      <c r="Y8" s="3">
        <v>21.9194671250007</v>
      </c>
      <c r="Z8" s="3">
        <v>21.931811958000299</v>
      </c>
      <c r="AA8" s="3">
        <v>22.410249958000399</v>
      </c>
      <c r="AB8" s="3">
        <v>22.410249958000399</v>
      </c>
      <c r="AC8" s="3">
        <v>22.410249958000399</v>
      </c>
      <c r="AD8" s="3">
        <v>23.101442083000599</v>
      </c>
      <c r="AE8" s="3" t="s">
        <v>59</v>
      </c>
      <c r="AF8" s="3">
        <v>1</v>
      </c>
      <c r="AG8" s="3">
        <v>0.68371720799950697</v>
      </c>
      <c r="AH8" s="3" t="s">
        <v>48</v>
      </c>
      <c r="AI8" s="2"/>
      <c r="AJ8" s="2"/>
      <c r="AK8" s="2"/>
      <c r="AL8" s="2"/>
      <c r="AM8" s="2"/>
      <c r="AN8" s="3">
        <v>2</v>
      </c>
      <c r="AO8" s="3">
        <v>1</v>
      </c>
      <c r="AP8" s="3" t="s">
        <v>61</v>
      </c>
      <c r="AQ8" s="3" t="s">
        <v>50</v>
      </c>
      <c r="AR8" s="2"/>
      <c r="AS8" s="3" t="s">
        <v>51</v>
      </c>
      <c r="AT8" s="3" t="s">
        <v>48</v>
      </c>
      <c r="AU8" s="3" t="s">
        <v>62</v>
      </c>
      <c r="AV8" s="2"/>
    </row>
    <row r="9" spans="1:48" x14ac:dyDescent="0.2">
      <c r="A9" s="1" t="s">
        <v>60</v>
      </c>
      <c r="B9" s="3" t="s">
        <v>54</v>
      </c>
      <c r="C9" s="3" t="s">
        <v>58</v>
      </c>
      <c r="D9" s="3" t="s">
        <v>56</v>
      </c>
      <c r="E9" s="3">
        <v>15</v>
      </c>
      <c r="F9" s="3">
        <v>3</v>
      </c>
      <c r="G9" s="3">
        <v>3</v>
      </c>
      <c r="H9" s="3" t="s">
        <v>56</v>
      </c>
      <c r="I9" s="3">
        <v>1</v>
      </c>
      <c r="J9" s="3">
        <v>1.2495814580006499</v>
      </c>
      <c r="K9" s="3" t="s">
        <v>48</v>
      </c>
      <c r="L9" s="3">
        <v>3</v>
      </c>
      <c r="M9" s="3">
        <v>3</v>
      </c>
      <c r="N9" s="3">
        <v>15</v>
      </c>
      <c r="O9" s="3">
        <v>0</v>
      </c>
      <c r="P9" s="3">
        <v>26.609675499999899</v>
      </c>
      <c r="Q9" s="2"/>
      <c r="R9" s="2"/>
      <c r="S9" s="2"/>
      <c r="T9" s="2"/>
      <c r="U9" s="2"/>
      <c r="V9" s="2"/>
      <c r="W9" s="2"/>
      <c r="X9" s="2"/>
      <c r="Y9" s="3">
        <v>26.5969039580004</v>
      </c>
      <c r="Z9" s="3">
        <v>26.609675499999899</v>
      </c>
      <c r="AA9" s="3">
        <v>27.093349333000301</v>
      </c>
      <c r="AB9" s="3">
        <v>27.093349333000301</v>
      </c>
      <c r="AC9" s="3">
        <v>27.093349333000301</v>
      </c>
      <c r="AD9" s="3">
        <v>28.345959917000101</v>
      </c>
      <c r="AE9" s="3" t="s">
        <v>56</v>
      </c>
      <c r="AF9" s="3">
        <v>1</v>
      </c>
      <c r="AG9" s="3">
        <v>1.2495814580006499</v>
      </c>
      <c r="AH9" s="3" t="s">
        <v>48</v>
      </c>
      <c r="AI9" s="2"/>
      <c r="AJ9" s="2"/>
      <c r="AK9" s="2"/>
      <c r="AL9" s="2"/>
      <c r="AM9" s="2"/>
      <c r="AN9" s="3">
        <v>2</v>
      </c>
      <c r="AO9" s="3">
        <v>1</v>
      </c>
      <c r="AP9" s="3" t="s">
        <v>61</v>
      </c>
      <c r="AQ9" s="3" t="s">
        <v>50</v>
      </c>
      <c r="AR9" s="2"/>
      <c r="AS9" s="3" t="s">
        <v>51</v>
      </c>
      <c r="AT9" s="3" t="s">
        <v>48</v>
      </c>
      <c r="AU9" s="3" t="s">
        <v>62</v>
      </c>
      <c r="AV9" s="2"/>
    </row>
    <row r="10" spans="1:48" x14ac:dyDescent="0.2">
      <c r="A10" s="1" t="s">
        <v>60</v>
      </c>
      <c r="B10" s="3" t="s">
        <v>54</v>
      </c>
      <c r="C10" s="3" t="s">
        <v>58</v>
      </c>
      <c r="D10" s="3" t="s">
        <v>56</v>
      </c>
      <c r="E10" s="3">
        <v>18</v>
      </c>
      <c r="F10" s="3">
        <v>2</v>
      </c>
      <c r="G10" s="3">
        <v>4</v>
      </c>
      <c r="H10" s="3" t="s">
        <v>56</v>
      </c>
      <c r="I10" s="3">
        <v>1</v>
      </c>
      <c r="J10" s="3">
        <v>0.84435866700005102</v>
      </c>
      <c r="K10" s="3" t="s">
        <v>48</v>
      </c>
      <c r="L10" s="3">
        <v>4</v>
      </c>
      <c r="M10" s="3">
        <v>2</v>
      </c>
      <c r="N10" s="3">
        <v>18</v>
      </c>
      <c r="O10" s="3">
        <v>0</v>
      </c>
      <c r="P10" s="3">
        <v>31.859593541999899</v>
      </c>
      <c r="Q10" s="2"/>
      <c r="R10" s="2"/>
      <c r="S10" s="2"/>
      <c r="T10" s="2"/>
      <c r="U10" s="2"/>
      <c r="V10" s="2"/>
      <c r="W10" s="2"/>
      <c r="X10" s="2"/>
      <c r="Y10" s="3">
        <v>31.847535500000099</v>
      </c>
      <c r="Z10" s="3">
        <v>31.859593541999899</v>
      </c>
      <c r="AA10" s="3">
        <v>32.343436000000104</v>
      </c>
      <c r="AB10" s="3">
        <v>32.343436000000104</v>
      </c>
      <c r="AC10" s="3">
        <v>32.343436000000104</v>
      </c>
      <c r="AD10" s="3">
        <v>33.195816750000603</v>
      </c>
      <c r="AE10" s="3" t="s">
        <v>56</v>
      </c>
      <c r="AF10" s="3">
        <v>1</v>
      </c>
      <c r="AG10" s="3">
        <v>0.84435866700005102</v>
      </c>
      <c r="AH10" s="3" t="s">
        <v>48</v>
      </c>
      <c r="AI10" s="2"/>
      <c r="AJ10" s="2"/>
      <c r="AK10" s="2"/>
      <c r="AL10" s="2"/>
      <c r="AM10" s="2"/>
      <c r="AN10" s="3">
        <v>2</v>
      </c>
      <c r="AO10" s="3">
        <v>1</v>
      </c>
      <c r="AP10" s="3" t="s">
        <v>61</v>
      </c>
      <c r="AQ10" s="3" t="s">
        <v>50</v>
      </c>
      <c r="AR10" s="2"/>
      <c r="AS10" s="3" t="s">
        <v>51</v>
      </c>
      <c r="AT10" s="3" t="s">
        <v>48</v>
      </c>
      <c r="AU10" s="3" t="s">
        <v>62</v>
      </c>
      <c r="AV10" s="2"/>
    </row>
    <row r="11" spans="1:48" x14ac:dyDescent="0.2">
      <c r="A11" s="1" t="s">
        <v>53</v>
      </c>
      <c r="B11" s="3" t="s">
        <v>57</v>
      </c>
      <c r="C11" s="3" t="s">
        <v>58</v>
      </c>
      <c r="D11" s="3" t="s">
        <v>59</v>
      </c>
      <c r="E11" s="3">
        <v>19</v>
      </c>
      <c r="F11" s="3">
        <v>3</v>
      </c>
      <c r="G11" s="3">
        <v>4</v>
      </c>
      <c r="H11" s="3" t="s">
        <v>59</v>
      </c>
      <c r="I11" s="3">
        <v>1</v>
      </c>
      <c r="J11" s="3">
        <v>0.83505358299953503</v>
      </c>
      <c r="K11" s="3" t="s">
        <v>48</v>
      </c>
      <c r="L11" s="3">
        <v>4</v>
      </c>
      <c r="M11" s="3">
        <v>3</v>
      </c>
      <c r="N11" s="3">
        <v>19</v>
      </c>
      <c r="O11" s="3">
        <v>3</v>
      </c>
      <c r="P11" s="3">
        <v>33.211844417000101</v>
      </c>
      <c r="Q11" s="2"/>
      <c r="R11" s="2"/>
      <c r="S11" s="2"/>
      <c r="T11" s="2"/>
      <c r="U11" s="2"/>
      <c r="V11" s="2"/>
      <c r="W11" s="2"/>
      <c r="X11" s="2"/>
      <c r="Y11" s="3">
        <v>33.201085167000201</v>
      </c>
      <c r="Z11" s="3">
        <v>33.211844417000101</v>
      </c>
      <c r="AA11" s="3">
        <v>33.693711042000402</v>
      </c>
      <c r="AB11" s="3">
        <v>33.693711042000402</v>
      </c>
      <c r="AC11" s="3">
        <v>33.693711042000402</v>
      </c>
      <c r="AD11" s="3">
        <v>34.535389667000302</v>
      </c>
      <c r="AE11" s="3" t="s">
        <v>59</v>
      </c>
      <c r="AF11" s="3">
        <v>1</v>
      </c>
      <c r="AG11" s="3">
        <v>0.83505358299953503</v>
      </c>
      <c r="AH11" s="3" t="s">
        <v>48</v>
      </c>
      <c r="AI11" s="2"/>
      <c r="AJ11" s="2"/>
      <c r="AK11" s="2"/>
      <c r="AL11" s="2"/>
      <c r="AM11" s="2"/>
      <c r="AN11" s="3">
        <v>2</v>
      </c>
      <c r="AO11" s="3">
        <v>1</v>
      </c>
      <c r="AP11" s="3" t="s">
        <v>61</v>
      </c>
      <c r="AQ11" s="3" t="s">
        <v>50</v>
      </c>
      <c r="AR11" s="2"/>
      <c r="AS11" s="3" t="s">
        <v>51</v>
      </c>
      <c r="AT11" s="3" t="s">
        <v>48</v>
      </c>
      <c r="AU11" s="3" t="s">
        <v>62</v>
      </c>
      <c r="AV11" s="2"/>
    </row>
    <row r="12" spans="1:48" x14ac:dyDescent="0.2">
      <c r="A12" s="1" t="s">
        <v>53</v>
      </c>
      <c r="B12" s="3" t="s">
        <v>57</v>
      </c>
      <c r="C12" s="3" t="s">
        <v>58</v>
      </c>
      <c r="D12" s="3" t="s">
        <v>59</v>
      </c>
      <c r="E12" s="3">
        <v>20</v>
      </c>
      <c r="F12" s="3">
        <v>0</v>
      </c>
      <c r="G12" s="3">
        <v>5</v>
      </c>
      <c r="H12" s="3" t="s">
        <v>59</v>
      </c>
      <c r="I12" s="3">
        <v>1</v>
      </c>
      <c r="J12" s="3">
        <v>1.12821537500076</v>
      </c>
      <c r="K12" s="3" t="s">
        <v>48</v>
      </c>
      <c r="L12" s="3">
        <v>5</v>
      </c>
      <c r="M12" s="3">
        <v>0</v>
      </c>
      <c r="N12" s="3">
        <v>20</v>
      </c>
      <c r="O12" s="3">
        <v>3</v>
      </c>
      <c r="P12" s="3">
        <v>34.548697000000203</v>
      </c>
      <c r="Q12" s="2"/>
      <c r="R12" s="2"/>
      <c r="S12" s="2"/>
      <c r="T12" s="2"/>
      <c r="U12" s="2"/>
      <c r="V12" s="2"/>
      <c r="W12" s="2"/>
      <c r="X12" s="2"/>
      <c r="Y12" s="3">
        <v>34.536514458000099</v>
      </c>
      <c r="Z12" s="3">
        <v>34.548697000000203</v>
      </c>
      <c r="AA12" s="3">
        <v>35.026742625000203</v>
      </c>
      <c r="AB12" s="3">
        <v>35.026742625000203</v>
      </c>
      <c r="AC12" s="3">
        <v>35.026742625000203</v>
      </c>
      <c r="AD12" s="3">
        <v>36.162590917000699</v>
      </c>
      <c r="AE12" s="3" t="s">
        <v>59</v>
      </c>
      <c r="AF12" s="3">
        <v>1</v>
      </c>
      <c r="AG12" s="3">
        <v>1.12821537500076</v>
      </c>
      <c r="AH12" s="3" t="s">
        <v>48</v>
      </c>
      <c r="AI12" s="2"/>
      <c r="AJ12" s="2"/>
      <c r="AK12" s="2"/>
      <c r="AL12" s="2"/>
      <c r="AM12" s="2"/>
      <c r="AN12" s="3">
        <v>2</v>
      </c>
      <c r="AO12" s="3">
        <v>1</v>
      </c>
      <c r="AP12" s="3" t="s">
        <v>61</v>
      </c>
      <c r="AQ12" s="3" t="s">
        <v>50</v>
      </c>
      <c r="AR12" s="2"/>
      <c r="AS12" s="3" t="s">
        <v>51</v>
      </c>
      <c r="AT12" s="3" t="s">
        <v>48</v>
      </c>
      <c r="AU12" s="3" t="s">
        <v>62</v>
      </c>
      <c r="AV12" s="2"/>
    </row>
    <row r="13" spans="1:48" x14ac:dyDescent="0.2">
      <c r="A13" s="1" t="s">
        <v>60</v>
      </c>
      <c r="B13" s="3" t="s">
        <v>54</v>
      </c>
      <c r="C13" s="3" t="s">
        <v>58</v>
      </c>
      <c r="D13" s="3" t="s">
        <v>56</v>
      </c>
      <c r="E13" s="3">
        <v>22</v>
      </c>
      <c r="F13" s="3">
        <v>2</v>
      </c>
      <c r="G13" s="3">
        <v>5</v>
      </c>
      <c r="H13" s="3" t="s">
        <v>56</v>
      </c>
      <c r="I13" s="3">
        <v>1</v>
      </c>
      <c r="J13" s="3">
        <v>1.1149779580000501</v>
      </c>
      <c r="K13" s="3" t="s">
        <v>48</v>
      </c>
      <c r="L13" s="3">
        <v>5</v>
      </c>
      <c r="M13" s="3">
        <v>2</v>
      </c>
      <c r="N13" s="3">
        <v>22</v>
      </c>
      <c r="O13" s="3">
        <v>0</v>
      </c>
      <c r="P13" s="3">
        <v>37.629459417000398</v>
      </c>
      <c r="Q13" s="2"/>
      <c r="R13" s="2"/>
      <c r="S13" s="2"/>
      <c r="T13" s="2"/>
      <c r="U13" s="2"/>
      <c r="V13" s="2"/>
      <c r="W13" s="2"/>
      <c r="X13" s="2"/>
      <c r="Y13" s="3">
        <v>37.617877000000597</v>
      </c>
      <c r="Z13" s="3">
        <v>37.629459417000398</v>
      </c>
      <c r="AA13" s="3">
        <v>38.110080750000598</v>
      </c>
      <c r="AB13" s="3">
        <v>38.110080750000598</v>
      </c>
      <c r="AC13" s="3">
        <v>38.110080750000598</v>
      </c>
      <c r="AD13" s="3">
        <v>39.229124458000101</v>
      </c>
      <c r="AE13" s="3" t="s">
        <v>56</v>
      </c>
      <c r="AF13" s="3">
        <v>1</v>
      </c>
      <c r="AG13" s="3">
        <v>1.1149779580000501</v>
      </c>
      <c r="AH13" s="3" t="s">
        <v>48</v>
      </c>
      <c r="AI13" s="2"/>
      <c r="AJ13" s="2"/>
      <c r="AK13" s="2"/>
      <c r="AL13" s="2"/>
      <c r="AM13" s="2"/>
      <c r="AN13" s="3">
        <v>2</v>
      </c>
      <c r="AO13" s="3">
        <v>1</v>
      </c>
      <c r="AP13" s="3" t="s">
        <v>61</v>
      </c>
      <c r="AQ13" s="3" t="s">
        <v>50</v>
      </c>
      <c r="AR13" s="2"/>
      <c r="AS13" s="3" t="s">
        <v>51</v>
      </c>
      <c r="AT13" s="3" t="s">
        <v>48</v>
      </c>
      <c r="AU13" s="3" t="s">
        <v>62</v>
      </c>
      <c r="AV13" s="2"/>
    </row>
    <row r="14" spans="1:48" x14ac:dyDescent="0.2">
      <c r="A14" s="1" t="s">
        <v>53</v>
      </c>
      <c r="B14" s="3" t="s">
        <v>57</v>
      </c>
      <c r="C14" s="3" t="s">
        <v>58</v>
      </c>
      <c r="D14" s="3" t="s">
        <v>59</v>
      </c>
      <c r="E14" s="3">
        <v>25</v>
      </c>
      <c r="F14" s="3">
        <v>1</v>
      </c>
      <c r="G14" s="3">
        <v>6</v>
      </c>
      <c r="H14" s="3" t="s">
        <v>59</v>
      </c>
      <c r="I14" s="3">
        <v>1</v>
      </c>
      <c r="J14" s="3">
        <v>0.86680595800044102</v>
      </c>
      <c r="K14" s="3" t="s">
        <v>48</v>
      </c>
      <c r="L14" s="3">
        <v>6</v>
      </c>
      <c r="M14" s="3">
        <v>1</v>
      </c>
      <c r="N14" s="3">
        <v>25</v>
      </c>
      <c r="O14" s="3">
        <v>3</v>
      </c>
      <c r="P14" s="3">
        <v>42.6449352079999</v>
      </c>
      <c r="Q14" s="2"/>
      <c r="R14" s="2"/>
      <c r="S14" s="2"/>
      <c r="T14" s="2"/>
      <c r="U14" s="2"/>
      <c r="V14" s="2"/>
      <c r="W14" s="2"/>
      <c r="X14" s="2"/>
      <c r="Y14" s="3">
        <v>42.633802000000301</v>
      </c>
      <c r="Z14" s="3">
        <v>42.6449352079999</v>
      </c>
      <c r="AA14" s="3">
        <v>43.1270618750004</v>
      </c>
      <c r="AB14" s="3">
        <v>43.1270618750004</v>
      </c>
      <c r="AC14" s="3">
        <v>43.1270618750004</v>
      </c>
      <c r="AD14" s="3">
        <v>43.995716750000597</v>
      </c>
      <c r="AE14" s="3" t="s">
        <v>59</v>
      </c>
      <c r="AF14" s="3">
        <v>1</v>
      </c>
      <c r="AG14" s="3">
        <v>0.86680595800044102</v>
      </c>
      <c r="AH14" s="3" t="s">
        <v>48</v>
      </c>
      <c r="AI14" s="2"/>
      <c r="AJ14" s="2"/>
      <c r="AK14" s="2"/>
      <c r="AL14" s="2"/>
      <c r="AM14" s="2"/>
      <c r="AN14" s="3">
        <v>2</v>
      </c>
      <c r="AO14" s="3">
        <v>1</v>
      </c>
      <c r="AP14" s="3" t="s">
        <v>61</v>
      </c>
      <c r="AQ14" s="3" t="s">
        <v>50</v>
      </c>
      <c r="AR14" s="2"/>
      <c r="AS14" s="3" t="s">
        <v>51</v>
      </c>
      <c r="AT14" s="3" t="s">
        <v>48</v>
      </c>
      <c r="AU14" s="3" t="s">
        <v>62</v>
      </c>
      <c r="AV14" s="2"/>
    </row>
    <row r="15" spans="1:48" x14ac:dyDescent="0.2">
      <c r="A15" s="1" t="s">
        <v>60</v>
      </c>
      <c r="B15" s="3" t="s">
        <v>54</v>
      </c>
      <c r="C15" s="3" t="s">
        <v>58</v>
      </c>
      <c r="D15" s="3" t="s">
        <v>56</v>
      </c>
      <c r="E15" s="3">
        <v>27</v>
      </c>
      <c r="F15" s="3">
        <v>3</v>
      </c>
      <c r="G15" s="3">
        <v>6</v>
      </c>
      <c r="H15" s="3" t="s">
        <v>56</v>
      </c>
      <c r="I15" s="3">
        <v>1</v>
      </c>
      <c r="J15" s="3">
        <v>1.04440945799979</v>
      </c>
      <c r="K15" s="3" t="s">
        <v>48</v>
      </c>
      <c r="L15" s="3">
        <v>6</v>
      </c>
      <c r="M15" s="3">
        <v>3</v>
      </c>
      <c r="N15" s="3">
        <v>27</v>
      </c>
      <c r="O15" s="3">
        <v>0</v>
      </c>
      <c r="P15" s="3">
        <v>45.512877292000702</v>
      </c>
      <c r="Q15" s="2"/>
      <c r="R15" s="2"/>
      <c r="S15" s="2"/>
      <c r="T15" s="2"/>
      <c r="U15" s="2"/>
      <c r="V15" s="2"/>
      <c r="W15" s="2"/>
      <c r="X15" s="2"/>
      <c r="Y15" s="3">
        <v>45.5013772080001</v>
      </c>
      <c r="Z15" s="3">
        <v>45.512877292000702</v>
      </c>
      <c r="AA15" s="3">
        <v>45.993602250000599</v>
      </c>
      <c r="AB15" s="3">
        <v>45.993602250000599</v>
      </c>
      <c r="AC15" s="3">
        <v>45.993602250000599</v>
      </c>
      <c r="AD15" s="3">
        <v>47.046183417000101</v>
      </c>
      <c r="AE15" s="3" t="s">
        <v>56</v>
      </c>
      <c r="AF15" s="3">
        <v>1</v>
      </c>
      <c r="AG15" s="3">
        <v>1.04440945799979</v>
      </c>
      <c r="AH15" s="3" t="s">
        <v>48</v>
      </c>
      <c r="AI15" s="2"/>
      <c r="AJ15" s="2"/>
      <c r="AK15" s="2"/>
      <c r="AL15" s="2"/>
      <c r="AM15" s="2"/>
      <c r="AN15" s="3">
        <v>2</v>
      </c>
      <c r="AO15" s="3">
        <v>1</v>
      </c>
      <c r="AP15" s="3" t="s">
        <v>61</v>
      </c>
      <c r="AQ15" s="3" t="s">
        <v>50</v>
      </c>
      <c r="AR15" s="2"/>
      <c r="AS15" s="3" t="s">
        <v>51</v>
      </c>
      <c r="AT15" s="3" t="s">
        <v>48</v>
      </c>
      <c r="AU15" s="3" t="s">
        <v>62</v>
      </c>
      <c r="AV15" s="2"/>
    </row>
    <row r="16" spans="1:48" x14ac:dyDescent="0.2">
      <c r="A16" s="1" t="s">
        <v>53</v>
      </c>
      <c r="B16" s="3" t="s">
        <v>57</v>
      </c>
      <c r="C16" s="3" t="s">
        <v>58</v>
      </c>
      <c r="D16" s="3" t="s">
        <v>59</v>
      </c>
      <c r="E16" s="3">
        <v>28</v>
      </c>
      <c r="F16" s="3">
        <v>0</v>
      </c>
      <c r="G16" s="3">
        <v>7</v>
      </c>
      <c r="H16" s="3" t="s">
        <v>59</v>
      </c>
      <c r="I16" s="3">
        <v>1</v>
      </c>
      <c r="J16" s="3">
        <v>1.5232371669999301</v>
      </c>
      <c r="K16" s="3" t="s">
        <v>48</v>
      </c>
      <c r="L16" s="3">
        <v>7</v>
      </c>
      <c r="M16" s="3">
        <v>0</v>
      </c>
      <c r="N16" s="3">
        <v>28</v>
      </c>
      <c r="O16" s="3">
        <v>3</v>
      </c>
      <c r="P16" s="3">
        <v>47.060684125000101</v>
      </c>
      <c r="Q16" s="2"/>
      <c r="R16" s="2"/>
      <c r="S16" s="2"/>
      <c r="T16" s="2"/>
      <c r="U16" s="2"/>
      <c r="V16" s="2"/>
      <c r="W16" s="2"/>
      <c r="X16" s="2"/>
      <c r="Y16" s="3">
        <v>47.049619750000602</v>
      </c>
      <c r="Z16" s="3">
        <v>47.060684125000101</v>
      </c>
      <c r="AA16" s="3">
        <v>47.560564458000002</v>
      </c>
      <c r="AB16" s="3">
        <v>47.560564458000002</v>
      </c>
      <c r="AC16" s="3">
        <v>47.560564458000002</v>
      </c>
      <c r="AD16" s="3">
        <v>49.095563208000399</v>
      </c>
      <c r="AE16" s="3" t="s">
        <v>59</v>
      </c>
      <c r="AF16" s="3">
        <v>1</v>
      </c>
      <c r="AG16" s="3">
        <v>1.5232371669999301</v>
      </c>
      <c r="AH16" s="3" t="s">
        <v>48</v>
      </c>
      <c r="AI16" s="2"/>
      <c r="AJ16" s="2"/>
      <c r="AK16" s="2"/>
      <c r="AL16" s="2"/>
      <c r="AM16" s="2"/>
      <c r="AN16" s="3">
        <v>2</v>
      </c>
      <c r="AO16" s="3">
        <v>1</v>
      </c>
      <c r="AP16" s="3" t="s">
        <v>61</v>
      </c>
      <c r="AQ16" s="3" t="s">
        <v>50</v>
      </c>
      <c r="AR16" s="2"/>
      <c r="AS16" s="3" t="s">
        <v>51</v>
      </c>
      <c r="AT16" s="3" t="s">
        <v>48</v>
      </c>
      <c r="AU16" s="3" t="s">
        <v>62</v>
      </c>
      <c r="AV16" s="2"/>
    </row>
    <row r="17" spans="1:48" x14ac:dyDescent="0.2">
      <c r="A17" s="1" t="s">
        <v>60</v>
      </c>
      <c r="B17" s="3" t="s">
        <v>54</v>
      </c>
      <c r="C17" s="3" t="s">
        <v>58</v>
      </c>
      <c r="D17" s="3" t="s">
        <v>56</v>
      </c>
      <c r="E17" s="3">
        <v>30</v>
      </c>
      <c r="F17" s="3">
        <v>2</v>
      </c>
      <c r="G17" s="3">
        <v>7</v>
      </c>
      <c r="H17" s="3" t="s">
        <v>56</v>
      </c>
      <c r="I17" s="3">
        <v>1</v>
      </c>
      <c r="J17" s="3">
        <v>1.52671579199978</v>
      </c>
      <c r="K17" s="3" t="s">
        <v>48</v>
      </c>
      <c r="L17" s="3">
        <v>7</v>
      </c>
      <c r="M17" s="3">
        <v>2</v>
      </c>
      <c r="N17" s="3">
        <v>30</v>
      </c>
      <c r="O17" s="3">
        <v>0</v>
      </c>
      <c r="P17" s="3">
        <v>50.700156249999999</v>
      </c>
      <c r="Q17" s="2"/>
      <c r="R17" s="2"/>
      <c r="S17" s="2"/>
      <c r="T17" s="2"/>
      <c r="U17" s="2"/>
      <c r="V17" s="2"/>
      <c r="W17" s="2"/>
      <c r="X17" s="2"/>
      <c r="Y17" s="3">
        <v>50.689742667000203</v>
      </c>
      <c r="Z17" s="3">
        <v>50.700156249999999</v>
      </c>
      <c r="AA17" s="3">
        <v>51.177167167000299</v>
      </c>
      <c r="AB17" s="3">
        <v>51.177167167000299</v>
      </c>
      <c r="AC17" s="3">
        <v>51.177167167000299</v>
      </c>
      <c r="AD17" s="3">
        <v>52.712722500000403</v>
      </c>
      <c r="AE17" s="3" t="s">
        <v>56</v>
      </c>
      <c r="AF17" s="3">
        <v>1</v>
      </c>
      <c r="AG17" s="3">
        <v>1.52671579199978</v>
      </c>
      <c r="AH17" s="3" t="s">
        <v>48</v>
      </c>
      <c r="AI17" s="2"/>
      <c r="AJ17" s="2"/>
      <c r="AK17" s="2"/>
      <c r="AL17" s="2"/>
      <c r="AM17" s="2"/>
      <c r="AN17" s="3">
        <v>2</v>
      </c>
      <c r="AO17" s="3">
        <v>1</v>
      </c>
      <c r="AP17" s="3" t="s">
        <v>61</v>
      </c>
      <c r="AQ17" s="3" t="s">
        <v>50</v>
      </c>
      <c r="AR17" s="2"/>
      <c r="AS17" s="3" t="s">
        <v>51</v>
      </c>
      <c r="AT17" s="3" t="s">
        <v>48</v>
      </c>
      <c r="AU17" s="3" t="s">
        <v>62</v>
      </c>
      <c r="AV17" s="2"/>
    </row>
    <row r="18" spans="1:48" x14ac:dyDescent="0.2">
      <c r="A18" s="1" t="s">
        <v>53</v>
      </c>
      <c r="B18" s="3" t="s">
        <v>57</v>
      </c>
      <c r="C18" s="3" t="s">
        <v>58</v>
      </c>
      <c r="D18" s="3" t="s">
        <v>59</v>
      </c>
      <c r="E18" s="3">
        <v>32</v>
      </c>
      <c r="F18" s="3">
        <v>0</v>
      </c>
      <c r="G18" s="3">
        <v>8</v>
      </c>
      <c r="H18" s="3" t="s">
        <v>59</v>
      </c>
      <c r="I18" s="3">
        <v>1</v>
      </c>
      <c r="J18" s="3">
        <v>0.93557766599951697</v>
      </c>
      <c r="K18" s="3" t="s">
        <v>48</v>
      </c>
      <c r="L18" s="3">
        <v>8</v>
      </c>
      <c r="M18" s="3">
        <v>0</v>
      </c>
      <c r="N18" s="3">
        <v>32</v>
      </c>
      <c r="O18" s="3">
        <v>3</v>
      </c>
      <c r="P18" s="3">
        <v>55.123628625000499</v>
      </c>
      <c r="Q18" s="2"/>
      <c r="R18" s="2"/>
      <c r="S18" s="2"/>
      <c r="T18" s="2"/>
      <c r="U18" s="2"/>
      <c r="V18" s="2"/>
      <c r="W18" s="2"/>
      <c r="X18" s="2"/>
      <c r="Y18" s="3">
        <v>55.115180208000297</v>
      </c>
      <c r="Z18" s="3">
        <v>55.123628625000499</v>
      </c>
      <c r="AA18" s="3">
        <v>55.610281332999897</v>
      </c>
      <c r="AB18" s="3">
        <v>55.610281332999897</v>
      </c>
      <c r="AC18" s="3">
        <v>55.610281332999897</v>
      </c>
      <c r="AD18" s="3">
        <v>56.551950250000097</v>
      </c>
      <c r="AE18" s="3" t="s">
        <v>59</v>
      </c>
      <c r="AF18" s="3">
        <v>1</v>
      </c>
      <c r="AG18" s="3">
        <v>0.93557766599951697</v>
      </c>
      <c r="AH18" s="3" t="s">
        <v>48</v>
      </c>
      <c r="AI18" s="2"/>
      <c r="AJ18" s="2"/>
      <c r="AK18" s="2"/>
      <c r="AL18" s="2"/>
      <c r="AM18" s="2"/>
      <c r="AN18" s="3">
        <v>2</v>
      </c>
      <c r="AO18" s="3">
        <v>1</v>
      </c>
      <c r="AP18" s="3" t="s">
        <v>61</v>
      </c>
      <c r="AQ18" s="3" t="s">
        <v>50</v>
      </c>
      <c r="AR18" s="2"/>
      <c r="AS18" s="3" t="s">
        <v>51</v>
      </c>
      <c r="AT18" s="3" t="s">
        <v>48</v>
      </c>
      <c r="AU18" s="3" t="s">
        <v>62</v>
      </c>
      <c r="AV18" s="2"/>
    </row>
    <row r="19" spans="1:48" x14ac:dyDescent="0.2">
      <c r="A19" s="1" t="s">
        <v>60</v>
      </c>
      <c r="B19" s="3" t="s">
        <v>54</v>
      </c>
      <c r="C19" s="3" t="s">
        <v>58</v>
      </c>
      <c r="D19" s="3" t="s">
        <v>56</v>
      </c>
      <c r="E19" s="3">
        <v>34</v>
      </c>
      <c r="F19" s="3">
        <v>2</v>
      </c>
      <c r="G19" s="3">
        <v>8</v>
      </c>
      <c r="H19" s="3" t="s">
        <v>56</v>
      </c>
      <c r="I19" s="3">
        <v>1</v>
      </c>
      <c r="J19" s="3">
        <v>1.5193204580000399</v>
      </c>
      <c r="K19" s="3" t="s">
        <v>48</v>
      </c>
      <c r="L19" s="3">
        <v>8</v>
      </c>
      <c r="M19" s="3">
        <v>2</v>
      </c>
      <c r="N19" s="3">
        <v>34</v>
      </c>
      <c r="O19" s="3">
        <v>0</v>
      </c>
      <c r="P19" s="3">
        <v>58.276440292000203</v>
      </c>
      <c r="Q19" s="2"/>
      <c r="R19" s="2"/>
      <c r="S19" s="2"/>
      <c r="T19" s="2"/>
      <c r="U19" s="2"/>
      <c r="V19" s="2"/>
      <c r="W19" s="2"/>
      <c r="X19" s="2"/>
      <c r="Y19" s="3">
        <v>58.263696667000701</v>
      </c>
      <c r="Z19" s="3">
        <v>58.276440292000203</v>
      </c>
      <c r="AA19" s="3">
        <v>58.760636625000203</v>
      </c>
      <c r="AB19" s="3">
        <v>58.760636625000203</v>
      </c>
      <c r="AC19" s="3">
        <v>58.760636625000203</v>
      </c>
      <c r="AD19" s="3">
        <v>60.285690833000402</v>
      </c>
      <c r="AE19" s="3" t="s">
        <v>56</v>
      </c>
      <c r="AF19" s="3">
        <v>1</v>
      </c>
      <c r="AG19" s="3">
        <v>1.5193204580000399</v>
      </c>
      <c r="AH19" s="3" t="s">
        <v>48</v>
      </c>
      <c r="AI19" s="2"/>
      <c r="AJ19" s="2"/>
      <c r="AK19" s="2"/>
      <c r="AL19" s="2"/>
      <c r="AM19" s="2"/>
      <c r="AN19" s="3">
        <v>2</v>
      </c>
      <c r="AO19" s="3">
        <v>1</v>
      </c>
      <c r="AP19" s="3" t="s">
        <v>61</v>
      </c>
      <c r="AQ19" s="3" t="s">
        <v>50</v>
      </c>
      <c r="AR19" s="2"/>
      <c r="AS19" s="3" t="s">
        <v>51</v>
      </c>
      <c r="AT19" s="3" t="s">
        <v>48</v>
      </c>
      <c r="AU19" s="3" t="s">
        <v>62</v>
      </c>
      <c r="AV19" s="2"/>
    </row>
    <row r="20" spans="1:48" x14ac:dyDescent="0.2">
      <c r="A20" s="1" t="s">
        <v>53</v>
      </c>
      <c r="B20" s="3" t="s">
        <v>57</v>
      </c>
      <c r="C20" s="3" t="s">
        <v>58</v>
      </c>
      <c r="D20" s="3" t="s">
        <v>59</v>
      </c>
      <c r="E20" s="3">
        <v>37</v>
      </c>
      <c r="F20" s="3">
        <v>1</v>
      </c>
      <c r="G20" s="3">
        <v>9</v>
      </c>
      <c r="H20" s="3" t="s">
        <v>59</v>
      </c>
      <c r="I20" s="3">
        <v>1</v>
      </c>
      <c r="J20" s="3">
        <v>1.5882050000000201</v>
      </c>
      <c r="K20" s="3" t="s">
        <v>48</v>
      </c>
      <c r="L20" s="3">
        <v>9</v>
      </c>
      <c r="M20" s="3">
        <v>1</v>
      </c>
      <c r="N20" s="3">
        <v>37</v>
      </c>
      <c r="O20" s="3">
        <v>3</v>
      </c>
      <c r="P20" s="3">
        <v>67.276950625000595</v>
      </c>
      <c r="Q20" s="2"/>
      <c r="R20" s="2"/>
      <c r="S20" s="2"/>
      <c r="T20" s="2"/>
      <c r="U20" s="2"/>
      <c r="V20" s="2"/>
      <c r="W20" s="2"/>
      <c r="X20" s="2"/>
      <c r="Y20" s="3">
        <v>67.264217917000707</v>
      </c>
      <c r="Z20" s="3">
        <v>67.276950625000595</v>
      </c>
      <c r="AA20" s="3">
        <v>67.760241083000395</v>
      </c>
      <c r="AB20" s="3">
        <v>67.760241083000395</v>
      </c>
      <c r="AC20" s="3">
        <v>67.760241083000395</v>
      </c>
      <c r="AD20" s="3">
        <v>69.351987292000601</v>
      </c>
      <c r="AE20" s="3" t="s">
        <v>59</v>
      </c>
      <c r="AF20" s="3">
        <v>1</v>
      </c>
      <c r="AG20" s="3">
        <v>1.5882050000000201</v>
      </c>
      <c r="AH20" s="3" t="s">
        <v>48</v>
      </c>
      <c r="AI20" s="2"/>
      <c r="AJ20" s="2"/>
      <c r="AK20" s="2"/>
      <c r="AL20" s="2"/>
      <c r="AM20" s="2"/>
      <c r="AN20" s="3">
        <v>2</v>
      </c>
      <c r="AO20" s="3">
        <v>1</v>
      </c>
      <c r="AP20" s="3" t="s">
        <v>61</v>
      </c>
      <c r="AQ20" s="3" t="s">
        <v>50</v>
      </c>
      <c r="AR20" s="2"/>
      <c r="AS20" s="3" t="s">
        <v>51</v>
      </c>
      <c r="AT20" s="3" t="s">
        <v>48</v>
      </c>
      <c r="AU20" s="3" t="s">
        <v>62</v>
      </c>
      <c r="AV20" s="2"/>
    </row>
    <row r="21" spans="1:48" x14ac:dyDescent="0.2">
      <c r="A21" s="1" t="s">
        <v>60</v>
      </c>
      <c r="B21" s="3" t="s">
        <v>54</v>
      </c>
      <c r="C21" s="3" t="s">
        <v>58</v>
      </c>
      <c r="D21" s="3" t="s">
        <v>56</v>
      </c>
      <c r="E21" s="3">
        <v>39</v>
      </c>
      <c r="F21" s="3">
        <v>3</v>
      </c>
      <c r="G21" s="3">
        <v>9</v>
      </c>
      <c r="H21" s="3" t="s">
        <v>56</v>
      </c>
      <c r="I21" s="3">
        <v>1</v>
      </c>
      <c r="J21" s="3">
        <v>0.87610141599998304</v>
      </c>
      <c r="K21" s="3" t="s">
        <v>48</v>
      </c>
      <c r="L21" s="3">
        <v>9</v>
      </c>
      <c r="M21" s="3">
        <v>3</v>
      </c>
      <c r="N21" s="3">
        <v>39</v>
      </c>
      <c r="O21" s="3">
        <v>0</v>
      </c>
      <c r="P21" s="3">
        <v>71.7448995000004</v>
      </c>
      <c r="Q21" s="2"/>
      <c r="R21" s="2"/>
      <c r="S21" s="2"/>
      <c r="T21" s="2"/>
      <c r="U21" s="2"/>
      <c r="V21" s="2"/>
      <c r="W21" s="2"/>
      <c r="X21" s="2"/>
      <c r="Y21" s="3">
        <v>71.731129042000305</v>
      </c>
      <c r="Z21" s="3">
        <v>71.7448995000004</v>
      </c>
      <c r="AA21" s="3">
        <v>72.227323707999901</v>
      </c>
      <c r="AB21" s="3">
        <v>72.227323707999901</v>
      </c>
      <c r="AC21" s="3">
        <v>72.227323707999901</v>
      </c>
      <c r="AD21" s="3">
        <v>73.113104792000698</v>
      </c>
      <c r="AE21" s="3" t="s">
        <v>56</v>
      </c>
      <c r="AF21" s="3">
        <v>1</v>
      </c>
      <c r="AG21" s="3">
        <v>0.87610141599998304</v>
      </c>
      <c r="AH21" s="3" t="s">
        <v>48</v>
      </c>
      <c r="AI21" s="2"/>
      <c r="AJ21" s="2"/>
      <c r="AK21" s="2"/>
      <c r="AL21" s="2"/>
      <c r="AM21" s="2"/>
      <c r="AN21" s="3">
        <v>2</v>
      </c>
      <c r="AO21" s="3">
        <v>1</v>
      </c>
      <c r="AP21" s="3" t="s">
        <v>61</v>
      </c>
      <c r="AQ21" s="3" t="s">
        <v>50</v>
      </c>
      <c r="AR21" s="2"/>
      <c r="AS21" s="3" t="s">
        <v>51</v>
      </c>
      <c r="AT21" s="3" t="s">
        <v>48</v>
      </c>
      <c r="AU21" s="3" t="s">
        <v>62</v>
      </c>
      <c r="AV21" s="2"/>
    </row>
    <row r="22" spans="1:48" x14ac:dyDescent="0.2">
      <c r="A22" s="1" t="s">
        <v>53</v>
      </c>
      <c r="B22" s="3" t="s">
        <v>54</v>
      </c>
      <c r="C22" s="3" t="s">
        <v>55</v>
      </c>
      <c r="D22" s="3" t="s">
        <v>56</v>
      </c>
      <c r="E22" s="3">
        <v>0</v>
      </c>
      <c r="F22" s="3">
        <v>0</v>
      </c>
      <c r="G22" s="3">
        <v>0</v>
      </c>
      <c r="H22" s="3" t="s">
        <v>56</v>
      </c>
      <c r="I22" s="3">
        <v>1</v>
      </c>
      <c r="J22" s="3">
        <v>1.6570533740005</v>
      </c>
      <c r="K22" s="3" t="s">
        <v>48</v>
      </c>
      <c r="L22" s="3">
        <v>0</v>
      </c>
      <c r="M22" s="3">
        <v>0</v>
      </c>
      <c r="N22" s="3">
        <v>0</v>
      </c>
      <c r="O22" s="3">
        <v>2</v>
      </c>
      <c r="P22" s="3">
        <v>3.6966172080001298</v>
      </c>
      <c r="Q22" s="2"/>
      <c r="R22" s="2"/>
      <c r="S22" s="2"/>
      <c r="T22" s="2"/>
      <c r="U22" s="2"/>
      <c r="V22" s="2"/>
      <c r="W22" s="2"/>
      <c r="X22" s="2"/>
      <c r="Y22" s="3">
        <v>3.6777984170003002</v>
      </c>
      <c r="Z22" s="3">
        <v>3.6966172080001298</v>
      </c>
      <c r="AA22" s="3">
        <v>4.15978450000057</v>
      </c>
      <c r="AB22" s="3">
        <v>4.15978450000057</v>
      </c>
      <c r="AC22" s="3">
        <v>4.15978450000057</v>
      </c>
      <c r="AD22" s="3">
        <v>5.8185501249999998</v>
      </c>
      <c r="AE22" s="3" t="s">
        <v>56</v>
      </c>
      <c r="AF22" s="3">
        <v>1</v>
      </c>
      <c r="AG22" s="3">
        <v>1.6570533740005</v>
      </c>
      <c r="AH22" s="3" t="s">
        <v>48</v>
      </c>
      <c r="AI22" s="2"/>
      <c r="AJ22" s="2"/>
      <c r="AK22" s="2"/>
      <c r="AL22" s="2"/>
      <c r="AM22" s="2"/>
      <c r="AN22" s="3">
        <v>2</v>
      </c>
      <c r="AO22" s="3">
        <v>1</v>
      </c>
      <c r="AP22" s="3" t="s">
        <v>61</v>
      </c>
      <c r="AQ22" s="3" t="s">
        <v>50</v>
      </c>
      <c r="AR22" s="2"/>
      <c r="AS22" s="3" t="s">
        <v>51</v>
      </c>
      <c r="AT22" s="3" t="s">
        <v>48</v>
      </c>
      <c r="AU22" s="3" t="s">
        <v>62</v>
      </c>
      <c r="AV22" s="2"/>
    </row>
    <row r="23" spans="1:48" x14ac:dyDescent="0.2">
      <c r="A23" s="1" t="s">
        <v>60</v>
      </c>
      <c r="B23" s="3" t="s">
        <v>57</v>
      </c>
      <c r="C23" s="3" t="s">
        <v>55</v>
      </c>
      <c r="D23" s="3" t="s">
        <v>59</v>
      </c>
      <c r="E23" s="3">
        <v>1</v>
      </c>
      <c r="F23" s="3">
        <v>1</v>
      </c>
      <c r="G23" s="3">
        <v>0</v>
      </c>
      <c r="H23" s="3" t="s">
        <v>59</v>
      </c>
      <c r="I23" s="3">
        <v>1</v>
      </c>
      <c r="J23" s="3">
        <v>0.889964416000112</v>
      </c>
      <c r="K23" s="3" t="s">
        <v>48</v>
      </c>
      <c r="L23" s="3">
        <v>0</v>
      </c>
      <c r="M23" s="3">
        <v>1</v>
      </c>
      <c r="N23" s="3">
        <v>1</v>
      </c>
      <c r="O23" s="3">
        <v>1</v>
      </c>
      <c r="P23" s="3">
        <v>5.8378010420001401</v>
      </c>
      <c r="Q23" s="2"/>
      <c r="R23" s="2"/>
      <c r="S23" s="2"/>
      <c r="T23" s="2"/>
      <c r="U23" s="2"/>
      <c r="V23" s="2"/>
      <c r="W23" s="2"/>
      <c r="X23" s="2"/>
      <c r="Y23" s="3">
        <v>5.8267313750002403</v>
      </c>
      <c r="Z23" s="3">
        <v>5.8378010420001401</v>
      </c>
      <c r="AA23" s="3">
        <v>6.3238228330001203</v>
      </c>
      <c r="AB23" s="3">
        <v>6.3238228330001203</v>
      </c>
      <c r="AC23" s="3">
        <v>6.3238228330001203</v>
      </c>
      <c r="AD23" s="3">
        <v>7.2173335830002499</v>
      </c>
      <c r="AE23" s="3" t="s">
        <v>59</v>
      </c>
      <c r="AF23" s="3">
        <v>1</v>
      </c>
      <c r="AG23" s="3">
        <v>0.889964416000112</v>
      </c>
      <c r="AH23" s="3" t="s">
        <v>48</v>
      </c>
      <c r="AI23" s="2"/>
      <c r="AJ23" s="2"/>
      <c r="AK23" s="2"/>
      <c r="AL23" s="2"/>
      <c r="AM23" s="2"/>
      <c r="AN23" s="3">
        <v>2</v>
      </c>
      <c r="AO23" s="3">
        <v>1</v>
      </c>
      <c r="AP23" s="3" t="s">
        <v>61</v>
      </c>
      <c r="AQ23" s="3" t="s">
        <v>50</v>
      </c>
      <c r="AR23" s="2"/>
      <c r="AS23" s="3" t="s">
        <v>51</v>
      </c>
      <c r="AT23" s="3" t="s">
        <v>48</v>
      </c>
      <c r="AU23" s="3" t="s">
        <v>62</v>
      </c>
      <c r="AV23" s="2"/>
    </row>
    <row r="24" spans="1:48" x14ac:dyDescent="0.2">
      <c r="A24" s="1" t="s">
        <v>53</v>
      </c>
      <c r="B24" s="3" t="s">
        <v>54</v>
      </c>
      <c r="C24" s="3" t="s">
        <v>55</v>
      </c>
      <c r="D24" s="3" t="s">
        <v>56</v>
      </c>
      <c r="E24" s="3">
        <v>4</v>
      </c>
      <c r="F24" s="3">
        <v>0</v>
      </c>
      <c r="G24" s="3">
        <v>1</v>
      </c>
      <c r="H24" s="3" t="s">
        <v>56</v>
      </c>
      <c r="I24" s="3">
        <v>1</v>
      </c>
      <c r="J24" s="3">
        <v>1.0818705830006401</v>
      </c>
      <c r="K24" s="3" t="s">
        <v>48</v>
      </c>
      <c r="L24" s="3">
        <v>1</v>
      </c>
      <c r="M24" s="3">
        <v>0</v>
      </c>
      <c r="N24" s="3">
        <v>4</v>
      </c>
      <c r="O24" s="3">
        <v>2</v>
      </c>
      <c r="P24" s="3">
        <v>10.162841082999901</v>
      </c>
      <c r="Q24" s="2"/>
      <c r="R24" s="2"/>
      <c r="S24" s="2"/>
      <c r="T24" s="2"/>
      <c r="U24" s="2"/>
      <c r="V24" s="2"/>
      <c r="W24" s="2"/>
      <c r="X24" s="2"/>
      <c r="Y24" s="3">
        <v>10.1508292500002</v>
      </c>
      <c r="Z24" s="3">
        <v>10.162841082999901</v>
      </c>
      <c r="AA24" s="3">
        <v>10.6430934170003</v>
      </c>
      <c r="AB24" s="3">
        <v>10.6430934170003</v>
      </c>
      <c r="AC24" s="3">
        <v>10.6430934170003</v>
      </c>
      <c r="AD24" s="3">
        <v>11.728704083000601</v>
      </c>
      <c r="AE24" s="3" t="s">
        <v>56</v>
      </c>
      <c r="AF24" s="3">
        <v>1</v>
      </c>
      <c r="AG24" s="3">
        <v>1.0818705830006401</v>
      </c>
      <c r="AH24" s="3" t="s">
        <v>48</v>
      </c>
      <c r="AI24" s="2"/>
      <c r="AJ24" s="2"/>
      <c r="AK24" s="2"/>
      <c r="AL24" s="2"/>
      <c r="AM24" s="2"/>
      <c r="AN24" s="3">
        <v>2</v>
      </c>
      <c r="AO24" s="3">
        <v>1</v>
      </c>
      <c r="AP24" s="3" t="s">
        <v>61</v>
      </c>
      <c r="AQ24" s="3" t="s">
        <v>50</v>
      </c>
      <c r="AR24" s="2"/>
      <c r="AS24" s="3" t="s">
        <v>51</v>
      </c>
      <c r="AT24" s="3" t="s">
        <v>48</v>
      </c>
      <c r="AU24" s="3" t="s">
        <v>62</v>
      </c>
      <c r="AV24" s="2"/>
    </row>
    <row r="25" spans="1:48" x14ac:dyDescent="0.2">
      <c r="A25" s="1" t="s">
        <v>60</v>
      </c>
      <c r="B25" s="3" t="s">
        <v>57</v>
      </c>
      <c r="C25" s="3" t="s">
        <v>55</v>
      </c>
      <c r="D25" s="3" t="s">
        <v>59</v>
      </c>
      <c r="E25" s="3">
        <v>7</v>
      </c>
      <c r="F25" s="3">
        <v>3</v>
      </c>
      <c r="G25" s="3">
        <v>1</v>
      </c>
      <c r="H25" s="3" t="s">
        <v>59</v>
      </c>
      <c r="I25" s="3">
        <v>1</v>
      </c>
      <c r="J25" s="3">
        <v>1.1870674579995499</v>
      </c>
      <c r="K25" s="3" t="s">
        <v>48</v>
      </c>
      <c r="L25" s="3">
        <v>1</v>
      </c>
      <c r="M25" s="3">
        <v>3</v>
      </c>
      <c r="N25" s="3">
        <v>7</v>
      </c>
      <c r="O25" s="3">
        <v>1</v>
      </c>
      <c r="P25" s="3">
        <v>14.527878083000401</v>
      </c>
      <c r="Q25" s="2"/>
      <c r="R25" s="2"/>
      <c r="S25" s="2"/>
      <c r="T25" s="2"/>
      <c r="U25" s="2"/>
      <c r="V25" s="2"/>
      <c r="W25" s="2"/>
      <c r="X25" s="2"/>
      <c r="Y25" s="3">
        <v>14.5163307500006</v>
      </c>
      <c r="Z25" s="3">
        <v>14.527878083000401</v>
      </c>
      <c r="AA25" s="3">
        <v>15.009842917000199</v>
      </c>
      <c r="AB25" s="3">
        <v>15.009842917000199</v>
      </c>
      <c r="AC25" s="3">
        <v>15.009842917000199</v>
      </c>
      <c r="AD25" s="3">
        <v>16.200789042</v>
      </c>
      <c r="AE25" s="3" t="s">
        <v>59</v>
      </c>
      <c r="AF25" s="3">
        <v>1</v>
      </c>
      <c r="AG25" s="3">
        <v>1.1870674579995499</v>
      </c>
      <c r="AH25" s="3" t="s">
        <v>48</v>
      </c>
      <c r="AI25" s="2"/>
      <c r="AJ25" s="2"/>
      <c r="AK25" s="2"/>
      <c r="AL25" s="2"/>
      <c r="AM25" s="2"/>
      <c r="AN25" s="3">
        <v>2</v>
      </c>
      <c r="AO25" s="3">
        <v>1</v>
      </c>
      <c r="AP25" s="3" t="s">
        <v>61</v>
      </c>
      <c r="AQ25" s="3" t="s">
        <v>50</v>
      </c>
      <c r="AR25" s="2"/>
      <c r="AS25" s="3" t="s">
        <v>51</v>
      </c>
      <c r="AT25" s="3" t="s">
        <v>48</v>
      </c>
      <c r="AU25" s="3" t="s">
        <v>62</v>
      </c>
      <c r="AV25" s="2"/>
    </row>
    <row r="26" spans="1:48" x14ac:dyDescent="0.2">
      <c r="A26" s="1" t="s">
        <v>53</v>
      </c>
      <c r="B26" s="3" t="s">
        <v>54</v>
      </c>
      <c r="C26" s="3" t="s">
        <v>55</v>
      </c>
      <c r="D26" s="3" t="s">
        <v>56</v>
      </c>
      <c r="E26" s="3">
        <v>9</v>
      </c>
      <c r="F26" s="3">
        <v>1</v>
      </c>
      <c r="G26" s="3">
        <v>2</v>
      </c>
      <c r="H26" s="3" t="s">
        <v>56</v>
      </c>
      <c r="I26" s="3">
        <v>1</v>
      </c>
      <c r="J26" s="3">
        <v>1.1057128749998799</v>
      </c>
      <c r="K26" s="3" t="s">
        <v>48</v>
      </c>
      <c r="L26" s="3">
        <v>2</v>
      </c>
      <c r="M26" s="3">
        <v>1</v>
      </c>
      <c r="N26" s="3">
        <v>9</v>
      </c>
      <c r="O26" s="3">
        <v>2</v>
      </c>
      <c r="P26" s="3">
        <v>17.8614809170003</v>
      </c>
      <c r="Q26" s="2"/>
      <c r="R26" s="2"/>
      <c r="S26" s="2"/>
      <c r="T26" s="2"/>
      <c r="U26" s="2"/>
      <c r="V26" s="2"/>
      <c r="W26" s="2"/>
      <c r="X26" s="2"/>
      <c r="Y26" s="3">
        <v>17.850012792000602</v>
      </c>
      <c r="Z26" s="3">
        <v>17.8614809170003</v>
      </c>
      <c r="AA26" s="3">
        <v>18.3601285000004</v>
      </c>
      <c r="AB26" s="3">
        <v>18.3601285000004</v>
      </c>
      <c r="AC26" s="3">
        <v>18.3601285000004</v>
      </c>
      <c r="AD26" s="3">
        <v>19.468088125000602</v>
      </c>
      <c r="AE26" s="3" t="s">
        <v>56</v>
      </c>
      <c r="AF26" s="3">
        <v>1</v>
      </c>
      <c r="AG26" s="3">
        <v>1.1057128749998799</v>
      </c>
      <c r="AH26" s="3" t="s">
        <v>48</v>
      </c>
      <c r="AI26" s="2"/>
      <c r="AJ26" s="2"/>
      <c r="AK26" s="2"/>
      <c r="AL26" s="2"/>
      <c r="AM26" s="2"/>
      <c r="AN26" s="3">
        <v>2</v>
      </c>
      <c r="AO26" s="3">
        <v>1</v>
      </c>
      <c r="AP26" s="3" t="s">
        <v>61</v>
      </c>
      <c r="AQ26" s="3" t="s">
        <v>50</v>
      </c>
      <c r="AR26" s="2"/>
      <c r="AS26" s="3" t="s">
        <v>51</v>
      </c>
      <c r="AT26" s="3" t="s">
        <v>48</v>
      </c>
      <c r="AU26" s="3" t="s">
        <v>62</v>
      </c>
      <c r="AV26" s="2"/>
    </row>
    <row r="27" spans="1:48" x14ac:dyDescent="0.2">
      <c r="A27" s="1" t="s">
        <v>60</v>
      </c>
      <c r="B27" s="3" t="s">
        <v>57</v>
      </c>
      <c r="C27" s="3" t="s">
        <v>55</v>
      </c>
      <c r="D27" s="3" t="s">
        <v>59</v>
      </c>
      <c r="E27" s="3">
        <v>10</v>
      </c>
      <c r="F27" s="3">
        <v>2</v>
      </c>
      <c r="G27" s="3">
        <v>2</v>
      </c>
      <c r="H27" s="3" t="s">
        <v>59</v>
      </c>
      <c r="I27" s="3">
        <v>1</v>
      </c>
      <c r="J27" s="3">
        <v>0.81202575000042998</v>
      </c>
      <c r="K27" s="3" t="s">
        <v>48</v>
      </c>
      <c r="L27" s="3">
        <v>2</v>
      </c>
      <c r="M27" s="3">
        <v>2</v>
      </c>
      <c r="N27" s="3">
        <v>10</v>
      </c>
      <c r="O27" s="3">
        <v>1</v>
      </c>
      <c r="P27" s="3">
        <v>19.482997832999899</v>
      </c>
      <c r="Q27" s="2"/>
      <c r="R27" s="2"/>
      <c r="S27" s="2"/>
      <c r="T27" s="2"/>
      <c r="U27" s="2"/>
      <c r="V27" s="2"/>
      <c r="W27" s="2"/>
      <c r="X27" s="2"/>
      <c r="Y27" s="3">
        <v>19.472316500000499</v>
      </c>
      <c r="Z27" s="3">
        <v>19.482997832999899</v>
      </c>
      <c r="AA27" s="3">
        <v>19.9598828750004</v>
      </c>
      <c r="AB27" s="3">
        <v>19.9598828750004</v>
      </c>
      <c r="AC27" s="3">
        <v>19.9598828750004</v>
      </c>
      <c r="AD27" s="3">
        <v>20.778920042000198</v>
      </c>
      <c r="AE27" s="3" t="s">
        <v>59</v>
      </c>
      <c r="AF27" s="3">
        <v>1</v>
      </c>
      <c r="AG27" s="3">
        <v>0.81202575000042998</v>
      </c>
      <c r="AH27" s="3" t="s">
        <v>48</v>
      </c>
      <c r="AI27" s="2"/>
      <c r="AJ27" s="2"/>
      <c r="AK27" s="2"/>
      <c r="AL27" s="2"/>
      <c r="AM27" s="2"/>
      <c r="AN27" s="3">
        <v>2</v>
      </c>
      <c r="AO27" s="3">
        <v>1</v>
      </c>
      <c r="AP27" s="3" t="s">
        <v>61</v>
      </c>
      <c r="AQ27" s="3" t="s">
        <v>50</v>
      </c>
      <c r="AR27" s="2"/>
      <c r="AS27" s="3" t="s">
        <v>51</v>
      </c>
      <c r="AT27" s="3" t="s">
        <v>48</v>
      </c>
      <c r="AU27" s="3" t="s">
        <v>62</v>
      </c>
      <c r="AV27" s="2"/>
    </row>
    <row r="28" spans="1:48" x14ac:dyDescent="0.2">
      <c r="A28" s="1" t="s">
        <v>53</v>
      </c>
      <c r="B28" s="3" t="s">
        <v>54</v>
      </c>
      <c r="C28" s="3" t="s">
        <v>55</v>
      </c>
      <c r="D28" s="3" t="s">
        <v>56</v>
      </c>
      <c r="E28" s="3">
        <v>13</v>
      </c>
      <c r="F28" s="3">
        <v>1</v>
      </c>
      <c r="G28" s="3">
        <v>3</v>
      </c>
      <c r="H28" s="3" t="s">
        <v>56</v>
      </c>
      <c r="I28" s="3">
        <v>1</v>
      </c>
      <c r="J28" s="3">
        <v>1.0236601659999001</v>
      </c>
      <c r="K28" s="3" t="s">
        <v>48</v>
      </c>
      <c r="L28" s="3">
        <v>3</v>
      </c>
      <c r="M28" s="3">
        <v>1</v>
      </c>
      <c r="N28" s="3">
        <v>13</v>
      </c>
      <c r="O28" s="3">
        <v>2</v>
      </c>
      <c r="P28" s="3">
        <v>23.112804542000099</v>
      </c>
      <c r="Q28" s="2"/>
      <c r="R28" s="2"/>
      <c r="S28" s="2"/>
      <c r="T28" s="2"/>
      <c r="U28" s="2"/>
      <c r="V28" s="2"/>
      <c r="W28" s="2"/>
      <c r="X28" s="2"/>
      <c r="Y28" s="3">
        <v>23.102317792000601</v>
      </c>
      <c r="Z28" s="3">
        <v>23.112804542000099</v>
      </c>
      <c r="AA28" s="3">
        <v>23.593274042000299</v>
      </c>
      <c r="AB28" s="3">
        <v>23.593274042000299</v>
      </c>
      <c r="AC28" s="3">
        <v>23.593274042000299</v>
      </c>
      <c r="AD28" s="3">
        <v>24.618544375000099</v>
      </c>
      <c r="AE28" s="3" t="s">
        <v>56</v>
      </c>
      <c r="AF28" s="3">
        <v>1</v>
      </c>
      <c r="AG28" s="3">
        <v>1.0236601659999001</v>
      </c>
      <c r="AH28" s="3" t="s">
        <v>48</v>
      </c>
      <c r="AI28" s="2"/>
      <c r="AJ28" s="2"/>
      <c r="AK28" s="2"/>
      <c r="AL28" s="2"/>
      <c r="AM28" s="2"/>
      <c r="AN28" s="3">
        <v>2</v>
      </c>
      <c r="AO28" s="3">
        <v>1</v>
      </c>
      <c r="AP28" s="3" t="s">
        <v>61</v>
      </c>
      <c r="AQ28" s="3" t="s">
        <v>50</v>
      </c>
      <c r="AR28" s="2"/>
      <c r="AS28" s="3" t="s">
        <v>51</v>
      </c>
      <c r="AT28" s="3" t="s">
        <v>48</v>
      </c>
      <c r="AU28" s="3" t="s">
        <v>62</v>
      </c>
      <c r="AV28" s="2"/>
    </row>
    <row r="29" spans="1:48" x14ac:dyDescent="0.2">
      <c r="A29" s="1" t="s">
        <v>60</v>
      </c>
      <c r="B29" s="3" t="s">
        <v>57</v>
      </c>
      <c r="C29" s="3" t="s">
        <v>55</v>
      </c>
      <c r="D29" s="3" t="s">
        <v>59</v>
      </c>
      <c r="E29" s="3">
        <v>14</v>
      </c>
      <c r="F29" s="3">
        <v>2</v>
      </c>
      <c r="G29" s="3">
        <v>3</v>
      </c>
      <c r="H29" s="3" t="s">
        <v>59</v>
      </c>
      <c r="I29" s="3">
        <v>1</v>
      </c>
      <c r="J29" s="3">
        <v>1.4758082919997799</v>
      </c>
      <c r="K29" s="3" t="s">
        <v>48</v>
      </c>
      <c r="L29" s="3">
        <v>3</v>
      </c>
      <c r="M29" s="3">
        <v>2</v>
      </c>
      <c r="N29" s="3">
        <v>14</v>
      </c>
      <c r="O29" s="3">
        <v>1</v>
      </c>
      <c r="P29" s="3">
        <v>24.633846708000402</v>
      </c>
      <c r="Q29" s="2"/>
      <c r="R29" s="2"/>
      <c r="S29" s="2"/>
      <c r="T29" s="2"/>
      <c r="U29" s="2"/>
      <c r="V29" s="2"/>
      <c r="W29" s="2"/>
      <c r="X29" s="2"/>
      <c r="Y29" s="3">
        <v>24.6231764170007</v>
      </c>
      <c r="Z29" s="3">
        <v>24.633846708000402</v>
      </c>
      <c r="AA29" s="3">
        <v>25.110063042000501</v>
      </c>
      <c r="AB29" s="3">
        <v>25.110063042000501</v>
      </c>
      <c r="AC29" s="3">
        <v>25.110063042000501</v>
      </c>
      <c r="AD29" s="3">
        <v>26.595739166999898</v>
      </c>
      <c r="AE29" s="3" t="s">
        <v>59</v>
      </c>
      <c r="AF29" s="3">
        <v>1</v>
      </c>
      <c r="AG29" s="3">
        <v>1.4758082919997799</v>
      </c>
      <c r="AH29" s="3" t="s">
        <v>48</v>
      </c>
      <c r="AI29" s="2"/>
      <c r="AJ29" s="2"/>
      <c r="AK29" s="2"/>
      <c r="AL29" s="2"/>
      <c r="AM29" s="2"/>
      <c r="AN29" s="3">
        <v>2</v>
      </c>
      <c r="AO29" s="3">
        <v>1</v>
      </c>
      <c r="AP29" s="3" t="s">
        <v>61</v>
      </c>
      <c r="AQ29" s="3" t="s">
        <v>50</v>
      </c>
      <c r="AR29" s="2"/>
      <c r="AS29" s="3" t="s">
        <v>51</v>
      </c>
      <c r="AT29" s="3" t="s">
        <v>48</v>
      </c>
      <c r="AU29" s="3" t="s">
        <v>62</v>
      </c>
      <c r="AV29" s="2"/>
    </row>
    <row r="30" spans="1:48" x14ac:dyDescent="0.2">
      <c r="A30" s="1" t="s">
        <v>53</v>
      </c>
      <c r="B30" s="3" t="s">
        <v>54</v>
      </c>
      <c r="C30" s="3" t="s">
        <v>55</v>
      </c>
      <c r="D30" s="3" t="s">
        <v>56</v>
      </c>
      <c r="E30" s="3">
        <v>16</v>
      </c>
      <c r="F30" s="3">
        <v>0</v>
      </c>
      <c r="G30" s="3">
        <v>4</v>
      </c>
      <c r="H30" s="3" t="s">
        <v>56</v>
      </c>
      <c r="I30" s="3">
        <v>1</v>
      </c>
      <c r="J30" s="3">
        <v>1.2600709580001399</v>
      </c>
      <c r="K30" s="3" t="s">
        <v>48</v>
      </c>
      <c r="L30" s="3">
        <v>4</v>
      </c>
      <c r="M30" s="3">
        <v>0</v>
      </c>
      <c r="N30" s="3">
        <v>16</v>
      </c>
      <c r="O30" s="3">
        <v>2</v>
      </c>
      <c r="P30" s="3">
        <v>28.362151958000101</v>
      </c>
      <c r="Q30" s="2"/>
      <c r="R30" s="2"/>
      <c r="S30" s="2"/>
      <c r="T30" s="2"/>
      <c r="U30" s="2"/>
      <c r="V30" s="2"/>
      <c r="W30" s="2"/>
      <c r="X30" s="2"/>
      <c r="Y30" s="3">
        <v>28.350914958000399</v>
      </c>
      <c r="Z30" s="3">
        <v>28.362151958000101</v>
      </c>
      <c r="AA30" s="3">
        <v>28.842722917000199</v>
      </c>
      <c r="AB30" s="3">
        <v>28.842722917000199</v>
      </c>
      <c r="AC30" s="3">
        <v>28.842722917000199</v>
      </c>
      <c r="AD30" s="3">
        <v>30.1122897080004</v>
      </c>
      <c r="AE30" s="3" t="s">
        <v>56</v>
      </c>
      <c r="AF30" s="3">
        <v>1</v>
      </c>
      <c r="AG30" s="3">
        <v>1.2600709580001399</v>
      </c>
      <c r="AH30" s="3" t="s">
        <v>48</v>
      </c>
      <c r="AI30" s="2"/>
      <c r="AJ30" s="2"/>
      <c r="AK30" s="2"/>
      <c r="AL30" s="2"/>
      <c r="AM30" s="2"/>
      <c r="AN30" s="3">
        <v>2</v>
      </c>
      <c r="AO30" s="3">
        <v>1</v>
      </c>
      <c r="AP30" s="3" t="s">
        <v>61</v>
      </c>
      <c r="AQ30" s="3" t="s">
        <v>50</v>
      </c>
      <c r="AR30" s="2"/>
      <c r="AS30" s="3" t="s">
        <v>51</v>
      </c>
      <c r="AT30" s="3" t="s">
        <v>48</v>
      </c>
      <c r="AU30" s="3" t="s">
        <v>62</v>
      </c>
      <c r="AV30" s="2"/>
    </row>
    <row r="31" spans="1:48" x14ac:dyDescent="0.2">
      <c r="A31" s="1" t="s">
        <v>60</v>
      </c>
      <c r="B31" s="3" t="s">
        <v>57</v>
      </c>
      <c r="C31" s="3" t="s">
        <v>55</v>
      </c>
      <c r="D31" s="3" t="s">
        <v>59</v>
      </c>
      <c r="E31" s="3">
        <v>17</v>
      </c>
      <c r="F31" s="3">
        <v>1</v>
      </c>
      <c r="G31" s="3">
        <v>4</v>
      </c>
      <c r="H31" s="3" t="s">
        <v>59</v>
      </c>
      <c r="I31" s="3">
        <v>1</v>
      </c>
      <c r="J31" s="3">
        <v>1.22803795800064</v>
      </c>
      <c r="K31" s="3" t="s">
        <v>48</v>
      </c>
      <c r="L31" s="3">
        <v>4</v>
      </c>
      <c r="M31" s="3">
        <v>1</v>
      </c>
      <c r="N31" s="3">
        <v>17</v>
      </c>
      <c r="O31" s="3">
        <v>1</v>
      </c>
      <c r="P31" s="3">
        <v>30.128865333000299</v>
      </c>
      <c r="Q31" s="2"/>
      <c r="R31" s="2"/>
      <c r="S31" s="2"/>
      <c r="T31" s="2"/>
      <c r="U31" s="2"/>
      <c r="V31" s="2"/>
      <c r="W31" s="2"/>
      <c r="X31" s="2"/>
      <c r="Y31" s="3">
        <v>30.1171642500003</v>
      </c>
      <c r="Z31" s="3">
        <v>30.128865333000299</v>
      </c>
      <c r="AA31" s="3">
        <v>30.6097862920005</v>
      </c>
      <c r="AB31" s="3">
        <v>30.6097862920005</v>
      </c>
      <c r="AC31" s="3">
        <v>30.6097862920005</v>
      </c>
      <c r="AD31" s="3">
        <v>31.846128333000699</v>
      </c>
      <c r="AE31" s="3" t="s">
        <v>59</v>
      </c>
      <c r="AF31" s="3">
        <v>1</v>
      </c>
      <c r="AG31" s="3">
        <v>1.22803795800064</v>
      </c>
      <c r="AH31" s="3" t="s">
        <v>48</v>
      </c>
      <c r="AI31" s="2"/>
      <c r="AJ31" s="2"/>
      <c r="AK31" s="2"/>
      <c r="AL31" s="2"/>
      <c r="AM31" s="2"/>
      <c r="AN31" s="3">
        <v>2</v>
      </c>
      <c r="AO31" s="3">
        <v>1</v>
      </c>
      <c r="AP31" s="3" t="s">
        <v>61</v>
      </c>
      <c r="AQ31" s="3" t="s">
        <v>50</v>
      </c>
      <c r="AR31" s="2"/>
      <c r="AS31" s="3" t="s">
        <v>51</v>
      </c>
      <c r="AT31" s="3" t="s">
        <v>48</v>
      </c>
      <c r="AU31" s="3" t="s">
        <v>62</v>
      </c>
      <c r="AV31" s="2"/>
    </row>
    <row r="32" spans="1:48" x14ac:dyDescent="0.2">
      <c r="A32" s="1" t="s">
        <v>53</v>
      </c>
      <c r="B32" s="3" t="s">
        <v>54</v>
      </c>
      <c r="C32" s="3" t="s">
        <v>55</v>
      </c>
      <c r="D32" s="3" t="s">
        <v>56</v>
      </c>
      <c r="E32" s="3">
        <v>21</v>
      </c>
      <c r="F32" s="3">
        <v>1</v>
      </c>
      <c r="G32" s="3">
        <v>5</v>
      </c>
      <c r="H32" s="3" t="s">
        <v>56</v>
      </c>
      <c r="I32" s="3">
        <v>1</v>
      </c>
      <c r="J32" s="3">
        <v>0.94155462399976397</v>
      </c>
      <c r="K32" s="3" t="s">
        <v>48</v>
      </c>
      <c r="L32" s="3">
        <v>5</v>
      </c>
      <c r="M32" s="3">
        <v>1</v>
      </c>
      <c r="N32" s="3">
        <v>21</v>
      </c>
      <c r="O32" s="3">
        <v>2</v>
      </c>
      <c r="P32" s="3">
        <v>36.175503041999903</v>
      </c>
      <c r="Q32" s="2"/>
      <c r="R32" s="2"/>
      <c r="S32" s="2"/>
      <c r="T32" s="2"/>
      <c r="U32" s="2"/>
      <c r="V32" s="2"/>
      <c r="W32" s="2"/>
      <c r="X32" s="2"/>
      <c r="Y32" s="3">
        <v>36.1638868750006</v>
      </c>
      <c r="Z32" s="3">
        <v>36.175503041999903</v>
      </c>
      <c r="AA32" s="3">
        <v>36.659449458000402</v>
      </c>
      <c r="AB32" s="3">
        <v>36.659449458000402</v>
      </c>
      <c r="AC32" s="3">
        <v>36.659449458000402</v>
      </c>
      <c r="AD32" s="3">
        <v>37.612474500000602</v>
      </c>
      <c r="AE32" s="3" t="s">
        <v>56</v>
      </c>
      <c r="AF32" s="3">
        <v>1</v>
      </c>
      <c r="AG32" s="3">
        <v>0.94155462399976397</v>
      </c>
      <c r="AH32" s="3" t="s">
        <v>48</v>
      </c>
      <c r="AI32" s="2"/>
      <c r="AJ32" s="2"/>
      <c r="AK32" s="2"/>
      <c r="AL32" s="2"/>
      <c r="AM32" s="2"/>
      <c r="AN32" s="3">
        <v>2</v>
      </c>
      <c r="AO32" s="3">
        <v>1</v>
      </c>
      <c r="AP32" s="3" t="s">
        <v>61</v>
      </c>
      <c r="AQ32" s="3" t="s">
        <v>50</v>
      </c>
      <c r="AR32" s="2"/>
      <c r="AS32" s="3" t="s">
        <v>51</v>
      </c>
      <c r="AT32" s="3" t="s">
        <v>48</v>
      </c>
      <c r="AU32" s="3" t="s">
        <v>62</v>
      </c>
      <c r="AV32" s="2"/>
    </row>
    <row r="33" spans="1:48" x14ac:dyDescent="0.2">
      <c r="A33" s="1" t="s">
        <v>60</v>
      </c>
      <c r="B33" s="3" t="s">
        <v>57</v>
      </c>
      <c r="C33" s="3" t="s">
        <v>55</v>
      </c>
      <c r="D33" s="3" t="s">
        <v>59</v>
      </c>
      <c r="E33" s="3">
        <v>23</v>
      </c>
      <c r="F33" s="3">
        <v>3</v>
      </c>
      <c r="G33" s="3">
        <v>5</v>
      </c>
      <c r="H33" s="3" t="s">
        <v>59</v>
      </c>
      <c r="I33" s="3">
        <v>1</v>
      </c>
      <c r="J33" s="3">
        <v>1.2829413749996099</v>
      </c>
      <c r="K33" s="3" t="s">
        <v>48</v>
      </c>
      <c r="L33" s="3">
        <v>5</v>
      </c>
      <c r="M33" s="3">
        <v>3</v>
      </c>
      <c r="N33" s="3">
        <v>23</v>
      </c>
      <c r="O33" s="3">
        <v>1</v>
      </c>
      <c r="P33" s="3">
        <v>39.242757333000597</v>
      </c>
      <c r="Q33" s="2"/>
      <c r="R33" s="2"/>
      <c r="S33" s="2"/>
      <c r="T33" s="2"/>
      <c r="U33" s="2"/>
      <c r="V33" s="2"/>
      <c r="W33" s="2"/>
      <c r="X33" s="2"/>
      <c r="Y33" s="3">
        <v>39.2302543750002</v>
      </c>
      <c r="Z33" s="3">
        <v>39.242757333000597</v>
      </c>
      <c r="AA33" s="3">
        <v>39.7270302080005</v>
      </c>
      <c r="AB33" s="3">
        <v>39.7270302080005</v>
      </c>
      <c r="AC33" s="3">
        <v>39.7270302080005</v>
      </c>
      <c r="AD33" s="3">
        <v>41.012388958000003</v>
      </c>
      <c r="AE33" s="3" t="s">
        <v>59</v>
      </c>
      <c r="AF33" s="3">
        <v>1</v>
      </c>
      <c r="AG33" s="3">
        <v>1.2829413749996099</v>
      </c>
      <c r="AH33" s="3" t="s">
        <v>48</v>
      </c>
      <c r="AI33" s="2"/>
      <c r="AJ33" s="2"/>
      <c r="AK33" s="2"/>
      <c r="AL33" s="2"/>
      <c r="AM33" s="2"/>
      <c r="AN33" s="3">
        <v>2</v>
      </c>
      <c r="AO33" s="3">
        <v>1</v>
      </c>
      <c r="AP33" s="3" t="s">
        <v>61</v>
      </c>
      <c r="AQ33" s="3" t="s">
        <v>50</v>
      </c>
      <c r="AR33" s="2"/>
      <c r="AS33" s="3" t="s">
        <v>51</v>
      </c>
      <c r="AT33" s="3" t="s">
        <v>48</v>
      </c>
      <c r="AU33" s="3" t="s">
        <v>62</v>
      </c>
      <c r="AV33" s="2"/>
    </row>
    <row r="34" spans="1:48" x14ac:dyDescent="0.2">
      <c r="A34" s="1" t="s">
        <v>60</v>
      </c>
      <c r="B34" s="3" t="s">
        <v>57</v>
      </c>
      <c r="C34" s="3" t="s">
        <v>55</v>
      </c>
      <c r="D34" s="3" t="s">
        <v>59</v>
      </c>
      <c r="E34" s="3">
        <v>24</v>
      </c>
      <c r="F34" s="3">
        <v>0</v>
      </c>
      <c r="G34" s="3">
        <v>6</v>
      </c>
      <c r="H34" s="3" t="s">
        <v>59</v>
      </c>
      <c r="I34" s="3">
        <v>1</v>
      </c>
      <c r="J34" s="3">
        <v>1.1085054579998499</v>
      </c>
      <c r="K34" s="3" t="s">
        <v>48</v>
      </c>
      <c r="L34" s="3">
        <v>6</v>
      </c>
      <c r="M34" s="3">
        <v>0</v>
      </c>
      <c r="N34" s="3">
        <v>24</v>
      </c>
      <c r="O34" s="3">
        <v>1</v>
      </c>
      <c r="P34" s="3">
        <v>41.025730332999998</v>
      </c>
      <c r="Q34" s="2"/>
      <c r="R34" s="2"/>
      <c r="S34" s="2"/>
      <c r="T34" s="2"/>
      <c r="U34" s="2"/>
      <c r="V34" s="2"/>
      <c r="W34" s="2"/>
      <c r="X34" s="2"/>
      <c r="Y34" s="3">
        <v>41.0134945</v>
      </c>
      <c r="Z34" s="3">
        <v>41.025730332999998</v>
      </c>
      <c r="AA34" s="3">
        <v>41.510397500000202</v>
      </c>
      <c r="AB34" s="3">
        <v>41.510397500000202</v>
      </c>
      <c r="AC34" s="3">
        <v>41.510397500000202</v>
      </c>
      <c r="AD34" s="3">
        <v>42.629109958000299</v>
      </c>
      <c r="AE34" s="3" t="s">
        <v>59</v>
      </c>
      <c r="AF34" s="3">
        <v>1</v>
      </c>
      <c r="AG34" s="3">
        <v>1.1085054579998499</v>
      </c>
      <c r="AH34" s="3" t="s">
        <v>48</v>
      </c>
      <c r="AI34" s="2"/>
      <c r="AJ34" s="2"/>
      <c r="AK34" s="2"/>
      <c r="AL34" s="2"/>
      <c r="AM34" s="2"/>
      <c r="AN34" s="3">
        <v>2</v>
      </c>
      <c r="AO34" s="3">
        <v>1</v>
      </c>
      <c r="AP34" s="3" t="s">
        <v>61</v>
      </c>
      <c r="AQ34" s="3" t="s">
        <v>50</v>
      </c>
      <c r="AR34" s="2"/>
      <c r="AS34" s="3" t="s">
        <v>51</v>
      </c>
      <c r="AT34" s="3" t="s">
        <v>48</v>
      </c>
      <c r="AU34" s="3" t="s">
        <v>62</v>
      </c>
      <c r="AV34" s="2"/>
    </row>
    <row r="35" spans="1:48" x14ac:dyDescent="0.2">
      <c r="A35" s="1" t="s">
        <v>53</v>
      </c>
      <c r="B35" s="3" t="s">
        <v>54</v>
      </c>
      <c r="C35" s="3" t="s">
        <v>55</v>
      </c>
      <c r="D35" s="3" t="s">
        <v>56</v>
      </c>
      <c r="E35" s="3">
        <v>26</v>
      </c>
      <c r="F35" s="3">
        <v>2</v>
      </c>
      <c r="G35" s="3">
        <v>6</v>
      </c>
      <c r="H35" s="3" t="s">
        <v>56</v>
      </c>
      <c r="I35" s="3">
        <v>1</v>
      </c>
      <c r="J35" s="3">
        <v>0.99096658300004503</v>
      </c>
      <c r="K35" s="3" t="s">
        <v>48</v>
      </c>
      <c r="L35" s="3">
        <v>6</v>
      </c>
      <c r="M35" s="3">
        <v>2</v>
      </c>
      <c r="N35" s="3">
        <v>26</v>
      </c>
      <c r="O35" s="3">
        <v>2</v>
      </c>
      <c r="P35" s="3">
        <v>44.008490083000702</v>
      </c>
      <c r="Q35" s="2"/>
      <c r="R35" s="2"/>
      <c r="S35" s="2"/>
      <c r="T35" s="2"/>
      <c r="U35" s="2"/>
      <c r="V35" s="2"/>
      <c r="W35" s="2"/>
      <c r="X35" s="2"/>
      <c r="Y35" s="3">
        <v>43.996846042000499</v>
      </c>
      <c r="Z35" s="3">
        <v>44.008490083000702</v>
      </c>
      <c r="AA35" s="3">
        <v>44.4939291250003</v>
      </c>
      <c r="AB35" s="3">
        <v>44.4939291250003</v>
      </c>
      <c r="AC35" s="3">
        <v>44.4939291250003</v>
      </c>
      <c r="AD35" s="3">
        <v>45.495988458000298</v>
      </c>
      <c r="AE35" s="3" t="s">
        <v>56</v>
      </c>
      <c r="AF35" s="3">
        <v>1</v>
      </c>
      <c r="AG35" s="3">
        <v>0.99096658300004503</v>
      </c>
      <c r="AH35" s="3" t="s">
        <v>48</v>
      </c>
      <c r="AI35" s="2"/>
      <c r="AJ35" s="2"/>
      <c r="AK35" s="2"/>
      <c r="AL35" s="2"/>
      <c r="AM35" s="2"/>
      <c r="AN35" s="3">
        <v>2</v>
      </c>
      <c r="AO35" s="3">
        <v>1</v>
      </c>
      <c r="AP35" s="3" t="s">
        <v>61</v>
      </c>
      <c r="AQ35" s="3" t="s">
        <v>50</v>
      </c>
      <c r="AR35" s="2"/>
      <c r="AS35" s="3" t="s">
        <v>51</v>
      </c>
      <c r="AT35" s="3" t="s">
        <v>48</v>
      </c>
      <c r="AU35" s="3" t="s">
        <v>62</v>
      </c>
      <c r="AV35" s="2"/>
    </row>
    <row r="36" spans="1:48" x14ac:dyDescent="0.2">
      <c r="A36" s="1" t="s">
        <v>53</v>
      </c>
      <c r="B36" s="3" t="s">
        <v>54</v>
      </c>
      <c r="C36" s="3" t="s">
        <v>55</v>
      </c>
      <c r="D36" s="3" t="s">
        <v>56</v>
      </c>
      <c r="E36" s="3">
        <v>29</v>
      </c>
      <c r="F36" s="3">
        <v>1</v>
      </c>
      <c r="G36" s="3">
        <v>7</v>
      </c>
      <c r="H36" s="3" t="s">
        <v>56</v>
      </c>
      <c r="I36" s="3">
        <v>1</v>
      </c>
      <c r="J36" s="3">
        <v>1.08616379100022</v>
      </c>
      <c r="K36" s="3" t="s">
        <v>48</v>
      </c>
      <c r="L36" s="3">
        <v>7</v>
      </c>
      <c r="M36" s="3">
        <v>1</v>
      </c>
      <c r="N36" s="3">
        <v>29</v>
      </c>
      <c r="O36" s="3">
        <v>2</v>
      </c>
      <c r="P36" s="3">
        <v>49.107704292000598</v>
      </c>
      <c r="Q36" s="2"/>
      <c r="R36" s="2"/>
      <c r="S36" s="2"/>
      <c r="T36" s="2"/>
      <c r="U36" s="2"/>
      <c r="V36" s="2"/>
      <c r="W36" s="2"/>
      <c r="X36" s="2"/>
      <c r="Y36" s="3">
        <v>49.096670375000002</v>
      </c>
      <c r="Z36" s="3">
        <v>49.107704292000598</v>
      </c>
      <c r="AA36" s="3">
        <v>49.5937185000003</v>
      </c>
      <c r="AB36" s="3">
        <v>49.5937185000003</v>
      </c>
      <c r="AC36" s="3">
        <v>49.5937185000003</v>
      </c>
      <c r="AD36" s="3">
        <v>50.6849997919999</v>
      </c>
      <c r="AE36" s="3" t="s">
        <v>56</v>
      </c>
      <c r="AF36" s="3">
        <v>1</v>
      </c>
      <c r="AG36" s="3">
        <v>1.08616379100022</v>
      </c>
      <c r="AH36" s="3" t="s">
        <v>48</v>
      </c>
      <c r="AI36" s="2"/>
      <c r="AJ36" s="2"/>
      <c r="AK36" s="2"/>
      <c r="AL36" s="2"/>
      <c r="AM36" s="2"/>
      <c r="AN36" s="3">
        <v>2</v>
      </c>
      <c r="AO36" s="3">
        <v>1</v>
      </c>
      <c r="AP36" s="3" t="s">
        <v>61</v>
      </c>
      <c r="AQ36" s="3" t="s">
        <v>50</v>
      </c>
      <c r="AR36" s="2"/>
      <c r="AS36" s="3" t="s">
        <v>51</v>
      </c>
      <c r="AT36" s="3" t="s">
        <v>48</v>
      </c>
      <c r="AU36" s="3" t="s">
        <v>62</v>
      </c>
      <c r="AV36" s="2"/>
    </row>
    <row r="37" spans="1:48" x14ac:dyDescent="0.2">
      <c r="A37" s="1" t="s">
        <v>60</v>
      </c>
      <c r="B37" s="3" t="s">
        <v>57</v>
      </c>
      <c r="C37" s="3" t="s">
        <v>55</v>
      </c>
      <c r="D37" s="3" t="s">
        <v>59</v>
      </c>
      <c r="E37" s="3">
        <v>31</v>
      </c>
      <c r="F37" s="3">
        <v>3</v>
      </c>
      <c r="G37" s="3">
        <v>7</v>
      </c>
      <c r="H37" s="3" t="s">
        <v>59</v>
      </c>
      <c r="I37" s="3">
        <v>1</v>
      </c>
      <c r="J37" s="3">
        <v>1.8915057080002999</v>
      </c>
      <c r="K37" s="3" t="s">
        <v>48</v>
      </c>
      <c r="L37" s="3">
        <v>7</v>
      </c>
      <c r="M37" s="3">
        <v>3</v>
      </c>
      <c r="N37" s="3">
        <v>31</v>
      </c>
      <c r="O37" s="3">
        <v>1</v>
      </c>
      <c r="P37" s="3">
        <v>52.726632417000502</v>
      </c>
      <c r="Q37" s="2"/>
      <c r="R37" s="2"/>
      <c r="S37" s="2"/>
      <c r="T37" s="2"/>
      <c r="U37" s="2"/>
      <c r="V37" s="2"/>
      <c r="W37" s="2"/>
      <c r="X37" s="2"/>
      <c r="Y37" s="3">
        <v>52.713851000000403</v>
      </c>
      <c r="Z37" s="3">
        <v>52.726632417000502</v>
      </c>
      <c r="AA37" s="3">
        <v>53.210387791999899</v>
      </c>
      <c r="AB37" s="3">
        <v>53.210387791999899</v>
      </c>
      <c r="AC37" s="3">
        <v>53.210387791999899</v>
      </c>
      <c r="AD37" s="3">
        <v>55.1127423329999</v>
      </c>
      <c r="AE37" s="3" t="s">
        <v>59</v>
      </c>
      <c r="AF37" s="3">
        <v>1</v>
      </c>
      <c r="AG37" s="3">
        <v>1.8915057080002999</v>
      </c>
      <c r="AH37" s="3" t="s">
        <v>48</v>
      </c>
      <c r="AI37" s="2"/>
      <c r="AJ37" s="2"/>
      <c r="AK37" s="2"/>
      <c r="AL37" s="2"/>
      <c r="AM37" s="2"/>
      <c r="AN37" s="3">
        <v>2</v>
      </c>
      <c r="AO37" s="3">
        <v>1</v>
      </c>
      <c r="AP37" s="3" t="s">
        <v>61</v>
      </c>
      <c r="AQ37" s="3" t="s">
        <v>50</v>
      </c>
      <c r="AR37" s="2"/>
      <c r="AS37" s="3" t="s">
        <v>51</v>
      </c>
      <c r="AT37" s="3" t="s">
        <v>48</v>
      </c>
      <c r="AU37" s="3" t="s">
        <v>62</v>
      </c>
      <c r="AV37" s="2"/>
    </row>
    <row r="38" spans="1:48" x14ac:dyDescent="0.2">
      <c r="A38" s="1" t="s">
        <v>60</v>
      </c>
      <c r="B38" s="3" t="s">
        <v>57</v>
      </c>
      <c r="C38" s="3" t="s">
        <v>55</v>
      </c>
      <c r="D38" s="3" t="s">
        <v>59</v>
      </c>
      <c r="E38" s="3">
        <v>33</v>
      </c>
      <c r="F38" s="3">
        <v>1</v>
      </c>
      <c r="G38" s="3">
        <v>8</v>
      </c>
      <c r="H38" s="3" t="s">
        <v>59</v>
      </c>
      <c r="I38" s="3">
        <v>1</v>
      </c>
      <c r="J38" s="3">
        <v>1.2160810420000401</v>
      </c>
      <c r="K38" s="3" t="s">
        <v>48</v>
      </c>
      <c r="L38" s="3">
        <v>8</v>
      </c>
      <c r="M38" s="3">
        <v>1</v>
      </c>
      <c r="N38" s="3">
        <v>33</v>
      </c>
      <c r="O38" s="3">
        <v>1</v>
      </c>
      <c r="P38" s="3">
        <v>56.567386208000201</v>
      </c>
      <c r="Q38" s="2"/>
      <c r="R38" s="2"/>
      <c r="S38" s="2"/>
      <c r="T38" s="2"/>
      <c r="U38" s="2"/>
      <c r="V38" s="2"/>
      <c r="W38" s="2"/>
      <c r="X38" s="2"/>
      <c r="Y38" s="3">
        <v>56.556730875000497</v>
      </c>
      <c r="Z38" s="3">
        <v>56.567386208000201</v>
      </c>
      <c r="AA38" s="3">
        <v>57.044029500000804</v>
      </c>
      <c r="AB38" s="3">
        <v>57.044029500000804</v>
      </c>
      <c r="AC38" s="3">
        <v>57.044029500000804</v>
      </c>
      <c r="AD38" s="3">
        <v>58.262597917000697</v>
      </c>
      <c r="AE38" s="3" t="s">
        <v>59</v>
      </c>
      <c r="AF38" s="3">
        <v>1</v>
      </c>
      <c r="AG38" s="3">
        <v>1.2160810420000401</v>
      </c>
      <c r="AH38" s="3" t="s">
        <v>48</v>
      </c>
      <c r="AI38" s="2"/>
      <c r="AJ38" s="2"/>
      <c r="AK38" s="2"/>
      <c r="AL38" s="2"/>
      <c r="AM38" s="2"/>
      <c r="AN38" s="3">
        <v>2</v>
      </c>
      <c r="AO38" s="3">
        <v>1</v>
      </c>
      <c r="AP38" s="3" t="s">
        <v>61</v>
      </c>
      <c r="AQ38" s="3" t="s">
        <v>50</v>
      </c>
      <c r="AR38" s="2"/>
      <c r="AS38" s="3" t="s">
        <v>51</v>
      </c>
      <c r="AT38" s="3" t="s">
        <v>48</v>
      </c>
      <c r="AU38" s="3" t="s">
        <v>62</v>
      </c>
      <c r="AV38" s="2"/>
    </row>
    <row r="39" spans="1:48" x14ac:dyDescent="0.2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2"/>
      <c r="R39" s="2"/>
      <c r="S39" s="2"/>
      <c r="T39" s="2"/>
      <c r="U39" s="2"/>
      <c r="V39" s="2"/>
      <c r="W39" s="2"/>
      <c r="X39" s="2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2"/>
      <c r="AK39" s="2"/>
      <c r="AL39" s="2"/>
      <c r="AM39" s="2"/>
      <c r="AN39" s="3"/>
      <c r="AO39" s="3"/>
      <c r="AP39" s="3"/>
      <c r="AQ39" s="3"/>
      <c r="AR39" s="2"/>
      <c r="AS39" s="3"/>
      <c r="AT39" s="3"/>
      <c r="AU39" s="3"/>
      <c r="AV39" s="2"/>
    </row>
    <row r="40" spans="1:48" x14ac:dyDescent="0.2">
      <c r="A40" s="1" t="s">
        <v>53</v>
      </c>
      <c r="B40" s="3" t="s">
        <v>54</v>
      </c>
      <c r="C40" s="3" t="s">
        <v>55</v>
      </c>
      <c r="D40" s="3" t="s">
        <v>56</v>
      </c>
      <c r="E40" s="3">
        <v>36</v>
      </c>
      <c r="F40" s="3">
        <v>0</v>
      </c>
      <c r="G40" s="3">
        <v>9</v>
      </c>
      <c r="H40" s="3" t="s">
        <v>56</v>
      </c>
      <c r="I40" s="3">
        <v>1</v>
      </c>
      <c r="J40" s="3">
        <v>1.6833194990003899</v>
      </c>
      <c r="K40" s="3" t="s">
        <v>48</v>
      </c>
      <c r="L40" s="3">
        <v>9</v>
      </c>
      <c r="M40" s="3">
        <v>0</v>
      </c>
      <c r="N40" s="3">
        <v>36</v>
      </c>
      <c r="O40" s="3">
        <v>2</v>
      </c>
      <c r="P40" s="3">
        <v>65.093803000000705</v>
      </c>
      <c r="Q40" s="2"/>
      <c r="R40" s="2"/>
      <c r="S40" s="2"/>
      <c r="T40" s="2"/>
      <c r="U40" s="2"/>
      <c r="V40" s="2"/>
      <c r="W40" s="2"/>
      <c r="X40" s="2"/>
      <c r="Y40" s="3">
        <v>65.080816583000299</v>
      </c>
      <c r="Z40" s="3">
        <v>65.093803000000705</v>
      </c>
      <c r="AA40" s="3">
        <v>65.577289833000606</v>
      </c>
      <c r="AB40" s="3">
        <v>65.577289833000606</v>
      </c>
      <c r="AC40" s="3">
        <v>65.577289833000606</v>
      </c>
      <c r="AD40" s="3">
        <v>67.263086208000502</v>
      </c>
      <c r="AE40" s="3" t="s">
        <v>56</v>
      </c>
      <c r="AF40" s="3">
        <v>1</v>
      </c>
      <c r="AG40" s="3">
        <v>1.6833194990003899</v>
      </c>
      <c r="AH40" s="3" t="s">
        <v>48</v>
      </c>
      <c r="AI40" s="2"/>
      <c r="AJ40" s="2"/>
      <c r="AK40" s="2"/>
      <c r="AL40" s="2"/>
      <c r="AM40" s="2"/>
      <c r="AN40" s="3">
        <v>2</v>
      </c>
      <c r="AO40" s="3">
        <v>1</v>
      </c>
      <c r="AP40" s="3" t="s">
        <v>61</v>
      </c>
      <c r="AQ40" s="3" t="s">
        <v>50</v>
      </c>
      <c r="AR40" s="2"/>
      <c r="AS40" s="3" t="s">
        <v>51</v>
      </c>
      <c r="AT40" s="3" t="s">
        <v>48</v>
      </c>
      <c r="AU40" s="3" t="s">
        <v>62</v>
      </c>
      <c r="AV40" s="2"/>
    </row>
    <row r="41" spans="1:48" x14ac:dyDescent="0.2">
      <c r="A41" s="1" t="s">
        <v>60</v>
      </c>
      <c r="B41" s="3" t="s">
        <v>57</v>
      </c>
      <c r="C41" s="3" t="s">
        <v>55</v>
      </c>
      <c r="D41" s="3" t="s">
        <v>59</v>
      </c>
      <c r="E41" s="3">
        <v>38</v>
      </c>
      <c r="F41" s="3">
        <v>2</v>
      </c>
      <c r="G41" s="3">
        <v>9</v>
      </c>
      <c r="H41" s="3" t="s">
        <v>59</v>
      </c>
      <c r="I41" s="3">
        <v>1</v>
      </c>
      <c r="J41" s="3">
        <v>1.85855537399948</v>
      </c>
      <c r="K41" s="3" t="s">
        <v>48</v>
      </c>
      <c r="L41" s="3">
        <v>9</v>
      </c>
      <c r="M41" s="3">
        <v>2</v>
      </c>
      <c r="N41" s="3">
        <v>38</v>
      </c>
      <c r="O41" s="3">
        <v>1</v>
      </c>
      <c r="P41" s="3">
        <v>69.367602750000501</v>
      </c>
      <c r="Q41" s="2"/>
      <c r="R41" s="2"/>
      <c r="S41" s="2"/>
      <c r="T41" s="2"/>
      <c r="U41" s="2"/>
      <c r="V41" s="2"/>
      <c r="W41" s="2"/>
      <c r="X41" s="2"/>
      <c r="Y41" s="3">
        <v>69.356702417000605</v>
      </c>
      <c r="Z41" s="3">
        <v>69.367602750000501</v>
      </c>
      <c r="AA41" s="3">
        <v>69.860926000000305</v>
      </c>
      <c r="AB41" s="3">
        <v>69.860926000000305</v>
      </c>
      <c r="AC41" s="3">
        <v>69.860926000000305</v>
      </c>
      <c r="AD41" s="3">
        <v>71.729850958000497</v>
      </c>
      <c r="AE41" s="3" t="s">
        <v>59</v>
      </c>
      <c r="AF41" s="3">
        <v>1</v>
      </c>
      <c r="AG41" s="3">
        <v>1.85855537399948</v>
      </c>
      <c r="AH41" s="3" t="s">
        <v>48</v>
      </c>
      <c r="AI41" s="2"/>
      <c r="AJ41" s="2"/>
      <c r="AK41" s="2"/>
      <c r="AL41" s="2"/>
      <c r="AM41" s="2"/>
      <c r="AN41" s="3">
        <v>2</v>
      </c>
      <c r="AO41" s="3">
        <v>1</v>
      </c>
      <c r="AP41" s="3" t="s">
        <v>61</v>
      </c>
      <c r="AQ41" s="3" t="s">
        <v>50</v>
      </c>
      <c r="AR41" s="2"/>
      <c r="AS41" s="3" t="s">
        <v>51</v>
      </c>
      <c r="AT41" s="3" t="s">
        <v>48</v>
      </c>
      <c r="AU41" s="3" t="s">
        <v>62</v>
      </c>
      <c r="AV41" s="2"/>
    </row>
    <row r="42" spans="1:48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>
        <v>8.1871250004041905E-3</v>
      </c>
      <c r="S42" s="3">
        <v>1.5424500000335699E-2</v>
      </c>
      <c r="T42" s="3">
        <v>1.5424500000335699E-2</v>
      </c>
      <c r="U42" s="3">
        <v>3.6675089170003101</v>
      </c>
      <c r="V42" s="3" t="s">
        <v>47</v>
      </c>
      <c r="W42" s="3">
        <v>3.4245430419996401</v>
      </c>
      <c r="X42" s="3" t="s">
        <v>48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3">
        <v>2</v>
      </c>
      <c r="AO42" s="3">
        <v>1</v>
      </c>
      <c r="AP42" s="3" t="s">
        <v>61</v>
      </c>
      <c r="AQ42" s="3" t="s">
        <v>50</v>
      </c>
      <c r="AR42" s="2"/>
      <c r="AS42" s="3" t="s">
        <v>51</v>
      </c>
      <c r="AT42" s="3" t="s">
        <v>48</v>
      </c>
      <c r="AU42" s="3" t="s">
        <v>62</v>
      </c>
      <c r="AV42" s="2"/>
    </row>
    <row r="43" spans="1:48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3">
        <v>73.113422708000101</v>
      </c>
      <c r="AK43" s="3">
        <v>73.125998833000295</v>
      </c>
      <c r="AL43" s="3">
        <v>74.111259541999999</v>
      </c>
      <c r="AM43" s="3">
        <v>74.101089042000197</v>
      </c>
      <c r="AN43" s="3">
        <v>2</v>
      </c>
      <c r="AO43" s="3">
        <v>1</v>
      </c>
      <c r="AP43" s="3" t="s">
        <v>61</v>
      </c>
      <c r="AQ43" s="3" t="s">
        <v>50</v>
      </c>
      <c r="AR43" s="2"/>
      <c r="AS43" s="3" t="s">
        <v>51</v>
      </c>
      <c r="AT43" s="3" t="s">
        <v>48</v>
      </c>
      <c r="AU43" s="3" t="s">
        <v>62</v>
      </c>
      <c r="AV43" s="2"/>
    </row>
    <row r="48" spans="1:48" x14ac:dyDescent="0.2">
      <c r="AL48">
        <f>AVERAGE(AG2:AG21)</f>
        <v>1.0601728434500726</v>
      </c>
    </row>
    <row r="49" spans="33:38" x14ac:dyDescent="0.2">
      <c r="AL49">
        <f>AVERAGE(AG22:AG41)</f>
        <v>1.2516244886316459</v>
      </c>
    </row>
    <row r="52" spans="33:38" x14ac:dyDescent="0.2">
      <c r="AL52">
        <v>1.0601728399999999</v>
      </c>
    </row>
    <row r="53" spans="33:38" x14ac:dyDescent="0.2">
      <c r="AL53">
        <v>1.25162449</v>
      </c>
    </row>
    <row r="55" spans="33:38" x14ac:dyDescent="0.2">
      <c r="AG55" s="5"/>
    </row>
  </sheetData>
  <autoFilter ref="A1:AV1" xr:uid="{59B6E36A-14D7-F44A-AB67-FB00B82A8B91}">
    <sortState xmlns:xlrd2="http://schemas.microsoft.com/office/spreadsheetml/2017/richdata2" ref="A2:AV43">
      <sortCondition ref="C1:C4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71B5-CF83-1941-A54B-7626E4EE7A3D}">
  <dimension ref="A1:AU54"/>
  <sheetViews>
    <sheetView topLeftCell="X35" workbookViewId="0">
      <selection activeCell="AE54" sqref="AE54"/>
    </sheetView>
  </sheetViews>
  <sheetFormatPr baseColWidth="10" defaultRowHeight="16" x14ac:dyDescent="0.2"/>
  <sheetData>
    <row r="1" spans="1:4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2"/>
    </row>
    <row r="2" spans="1:47" x14ac:dyDescent="0.2">
      <c r="A2" s="1" t="s">
        <v>53</v>
      </c>
      <c r="B2" s="3" t="s">
        <v>57</v>
      </c>
      <c r="C2" s="3" t="s">
        <v>58</v>
      </c>
      <c r="D2" s="3" t="s">
        <v>59</v>
      </c>
      <c r="E2" s="3">
        <v>1</v>
      </c>
      <c r="F2" s="3">
        <v>1</v>
      </c>
      <c r="G2" s="3">
        <v>0</v>
      </c>
      <c r="H2" s="3" t="s">
        <v>59</v>
      </c>
      <c r="I2" s="3">
        <v>1</v>
      </c>
      <c r="J2" s="3">
        <v>0.995462040999882</v>
      </c>
      <c r="K2" s="3" t="s">
        <v>48</v>
      </c>
      <c r="L2" s="3">
        <v>0</v>
      </c>
      <c r="M2" s="3">
        <v>1</v>
      </c>
      <c r="N2" s="3">
        <v>1</v>
      </c>
      <c r="O2" s="3">
        <v>3</v>
      </c>
      <c r="P2" s="3">
        <v>3.90350004199991</v>
      </c>
      <c r="Q2" s="2"/>
      <c r="R2" s="2"/>
      <c r="S2" s="2"/>
      <c r="T2" s="2"/>
      <c r="U2" s="2"/>
      <c r="V2" s="2"/>
      <c r="W2" s="2"/>
      <c r="X2" s="2"/>
      <c r="Y2" s="3">
        <v>3.8907299590000601</v>
      </c>
      <c r="Z2" s="3">
        <v>3.90350004199991</v>
      </c>
      <c r="AA2" s="3">
        <v>4.3874372090003799</v>
      </c>
      <c r="AB2" s="3">
        <v>4.3874372090003799</v>
      </c>
      <c r="AC2" s="3">
        <v>4.3874372090003799</v>
      </c>
      <c r="AD2" s="3">
        <v>5.3899240000000601</v>
      </c>
      <c r="AE2" s="3" t="s">
        <v>59</v>
      </c>
      <c r="AF2" s="3">
        <v>1</v>
      </c>
      <c r="AG2" s="3">
        <v>0.995462040999882</v>
      </c>
      <c r="AH2" s="3" t="s">
        <v>48</v>
      </c>
      <c r="AI2" s="2"/>
      <c r="AJ2" s="2"/>
      <c r="AK2" s="2"/>
      <c r="AL2" s="2"/>
      <c r="AM2" s="3">
        <v>3</v>
      </c>
      <c r="AN2" s="3">
        <v>1</v>
      </c>
      <c r="AO2" s="3" t="s">
        <v>63</v>
      </c>
      <c r="AP2" s="3" t="s">
        <v>50</v>
      </c>
      <c r="AQ2" s="2"/>
      <c r="AR2" s="3" t="s">
        <v>51</v>
      </c>
      <c r="AS2" s="3" t="s">
        <v>48</v>
      </c>
      <c r="AT2" s="3" t="s">
        <v>64</v>
      </c>
      <c r="AU2" s="2"/>
    </row>
    <row r="3" spans="1:47" x14ac:dyDescent="0.2">
      <c r="A3" s="1" t="s">
        <v>60</v>
      </c>
      <c r="B3" s="3" t="s">
        <v>54</v>
      </c>
      <c r="C3" s="3" t="s">
        <v>58</v>
      </c>
      <c r="D3" s="3" t="s">
        <v>56</v>
      </c>
      <c r="E3" s="3">
        <v>3</v>
      </c>
      <c r="F3" s="3">
        <v>3</v>
      </c>
      <c r="G3" s="3">
        <v>0</v>
      </c>
      <c r="H3" s="3" t="s">
        <v>56</v>
      </c>
      <c r="I3" s="3">
        <v>1</v>
      </c>
      <c r="J3" s="3">
        <v>0.727473416999601</v>
      </c>
      <c r="K3" s="3" t="s">
        <v>48</v>
      </c>
      <c r="L3" s="3">
        <v>0</v>
      </c>
      <c r="M3" s="3">
        <v>3</v>
      </c>
      <c r="N3" s="3">
        <v>3</v>
      </c>
      <c r="O3" s="3">
        <v>0</v>
      </c>
      <c r="P3" s="3">
        <v>7.0674178750005003</v>
      </c>
      <c r="Q3" s="2"/>
      <c r="R3" s="2"/>
      <c r="S3" s="2"/>
      <c r="T3" s="2"/>
      <c r="U3" s="2"/>
      <c r="V3" s="2"/>
      <c r="W3" s="2"/>
      <c r="X3" s="2"/>
      <c r="Y3" s="3">
        <v>7.0457832090005503</v>
      </c>
      <c r="Z3" s="3">
        <v>7.0674178750005003</v>
      </c>
      <c r="AA3" s="3">
        <v>7.5374102920004598</v>
      </c>
      <c r="AB3" s="3">
        <v>7.5374102920004598</v>
      </c>
      <c r="AC3" s="3">
        <v>7.5374102920004598</v>
      </c>
      <c r="AD3" s="3">
        <v>8.2729673750000092</v>
      </c>
      <c r="AE3" s="3" t="s">
        <v>56</v>
      </c>
      <c r="AF3" s="3">
        <v>1</v>
      </c>
      <c r="AG3" s="3">
        <v>0.727473416999601</v>
      </c>
      <c r="AH3" s="3" t="s">
        <v>48</v>
      </c>
      <c r="AI3" s="2"/>
      <c r="AJ3" s="2"/>
      <c r="AK3" s="2"/>
      <c r="AL3" s="2"/>
      <c r="AM3" s="3">
        <v>3</v>
      </c>
      <c r="AN3" s="3">
        <v>1</v>
      </c>
      <c r="AO3" s="3" t="s">
        <v>63</v>
      </c>
      <c r="AP3" s="3" t="s">
        <v>50</v>
      </c>
      <c r="AQ3" s="2"/>
      <c r="AR3" s="3" t="s">
        <v>51</v>
      </c>
      <c r="AS3" s="3" t="s">
        <v>48</v>
      </c>
      <c r="AT3" s="3" t="s">
        <v>64</v>
      </c>
      <c r="AU3" s="2"/>
    </row>
    <row r="4" spans="1:47" x14ac:dyDescent="0.2">
      <c r="A4" s="1" t="s">
        <v>60</v>
      </c>
      <c r="B4" s="3" t="s">
        <v>54</v>
      </c>
      <c r="C4" s="3" t="s">
        <v>58</v>
      </c>
      <c r="D4" s="3" t="s">
        <v>56</v>
      </c>
      <c r="E4" s="3">
        <v>4</v>
      </c>
      <c r="F4" s="3">
        <v>0</v>
      </c>
      <c r="G4" s="3">
        <v>1</v>
      </c>
      <c r="H4" s="3" t="s">
        <v>56</v>
      </c>
      <c r="I4" s="3">
        <v>1</v>
      </c>
      <c r="J4" s="3">
        <v>0.80582387399954303</v>
      </c>
      <c r="K4" s="3" t="s">
        <v>48</v>
      </c>
      <c r="L4" s="3">
        <v>1</v>
      </c>
      <c r="M4" s="3">
        <v>0</v>
      </c>
      <c r="N4" s="3">
        <v>4</v>
      </c>
      <c r="O4" s="3">
        <v>0</v>
      </c>
      <c r="P4" s="3">
        <v>8.2862121670004907</v>
      </c>
      <c r="Q4" s="2"/>
      <c r="R4" s="2"/>
      <c r="S4" s="2"/>
      <c r="T4" s="2"/>
      <c r="U4" s="2"/>
      <c r="V4" s="2"/>
      <c r="W4" s="2"/>
      <c r="X4" s="2"/>
      <c r="Y4" s="3">
        <v>8.2740508750002899</v>
      </c>
      <c r="Z4" s="3">
        <v>8.2862121670004907</v>
      </c>
      <c r="AA4" s="3">
        <v>8.7701242090006399</v>
      </c>
      <c r="AB4" s="3">
        <v>8.7701242090006399</v>
      </c>
      <c r="AC4" s="3">
        <v>8.7701242090006399</v>
      </c>
      <c r="AD4" s="3">
        <v>9.5786562090006608</v>
      </c>
      <c r="AE4" s="3" t="s">
        <v>56</v>
      </c>
      <c r="AF4" s="3">
        <v>1</v>
      </c>
      <c r="AG4" s="3">
        <v>0.80582387399954303</v>
      </c>
      <c r="AH4" s="3" t="s">
        <v>48</v>
      </c>
      <c r="AI4" s="2"/>
      <c r="AJ4" s="2"/>
      <c r="AK4" s="2"/>
      <c r="AL4" s="2"/>
      <c r="AM4" s="3">
        <v>3</v>
      </c>
      <c r="AN4" s="3">
        <v>1</v>
      </c>
      <c r="AO4" s="3" t="s">
        <v>63</v>
      </c>
      <c r="AP4" s="3" t="s">
        <v>50</v>
      </c>
      <c r="AQ4" s="2"/>
      <c r="AR4" s="3" t="s">
        <v>51</v>
      </c>
      <c r="AS4" s="3" t="s">
        <v>48</v>
      </c>
      <c r="AT4" s="3" t="s">
        <v>64</v>
      </c>
      <c r="AU4" s="2"/>
    </row>
    <row r="5" spans="1:47" x14ac:dyDescent="0.2">
      <c r="A5" s="1" t="s">
        <v>53</v>
      </c>
      <c r="B5" s="3" t="s">
        <v>57</v>
      </c>
      <c r="C5" s="3" t="s">
        <v>58</v>
      </c>
      <c r="D5" s="3" t="s">
        <v>59</v>
      </c>
      <c r="E5" s="3">
        <v>6</v>
      </c>
      <c r="F5" s="3">
        <v>2</v>
      </c>
      <c r="G5" s="3">
        <v>1</v>
      </c>
      <c r="H5" s="3" t="s">
        <v>59</v>
      </c>
      <c r="I5" s="3">
        <v>1</v>
      </c>
      <c r="J5" s="3">
        <v>0.71776624999984096</v>
      </c>
      <c r="K5" s="3" t="s">
        <v>48</v>
      </c>
      <c r="L5" s="3">
        <v>1</v>
      </c>
      <c r="M5" s="3">
        <v>2</v>
      </c>
      <c r="N5" s="3">
        <v>6</v>
      </c>
      <c r="O5" s="3">
        <v>3</v>
      </c>
      <c r="P5" s="3">
        <v>11.021071250000199</v>
      </c>
      <c r="Q5" s="2"/>
      <c r="R5" s="2"/>
      <c r="S5" s="2"/>
      <c r="T5" s="2"/>
      <c r="U5" s="2"/>
      <c r="V5" s="2"/>
      <c r="W5" s="2"/>
      <c r="X5" s="2"/>
      <c r="Y5" s="3">
        <v>11.009912500000601</v>
      </c>
      <c r="Z5" s="3">
        <v>11.021071250000199</v>
      </c>
      <c r="AA5" s="3">
        <v>11.504039041999899</v>
      </c>
      <c r="AB5" s="3">
        <v>11.504039041999899</v>
      </c>
      <c r="AC5" s="3">
        <v>11.504039041999899</v>
      </c>
      <c r="AD5" s="3">
        <v>12.228608292000001</v>
      </c>
      <c r="AE5" s="3" t="s">
        <v>59</v>
      </c>
      <c r="AF5" s="3">
        <v>1</v>
      </c>
      <c r="AG5" s="3">
        <v>0.71776624999984096</v>
      </c>
      <c r="AH5" s="3" t="s">
        <v>48</v>
      </c>
      <c r="AI5" s="2"/>
      <c r="AJ5" s="2"/>
      <c r="AK5" s="2"/>
      <c r="AL5" s="2"/>
      <c r="AM5" s="3">
        <v>3</v>
      </c>
      <c r="AN5" s="3">
        <v>1</v>
      </c>
      <c r="AO5" s="3" t="s">
        <v>63</v>
      </c>
      <c r="AP5" s="3" t="s">
        <v>50</v>
      </c>
      <c r="AQ5" s="2"/>
      <c r="AR5" s="3" t="s">
        <v>51</v>
      </c>
      <c r="AS5" s="3" t="s">
        <v>48</v>
      </c>
      <c r="AT5" s="3" t="s">
        <v>64</v>
      </c>
      <c r="AU5" s="2"/>
    </row>
    <row r="6" spans="1:47" x14ac:dyDescent="0.2">
      <c r="A6" s="1" t="s">
        <v>53</v>
      </c>
      <c r="B6" s="3" t="s">
        <v>57</v>
      </c>
      <c r="C6" s="3" t="s">
        <v>58</v>
      </c>
      <c r="D6" s="3" t="s">
        <v>59</v>
      </c>
      <c r="E6" s="3">
        <v>9</v>
      </c>
      <c r="F6" s="3">
        <v>1</v>
      </c>
      <c r="G6" s="3">
        <v>2</v>
      </c>
      <c r="H6" s="3" t="s">
        <v>59</v>
      </c>
      <c r="I6" s="3">
        <v>1</v>
      </c>
      <c r="J6" s="3">
        <v>1.0231317910002</v>
      </c>
      <c r="K6" s="3" t="s">
        <v>48</v>
      </c>
      <c r="L6" s="3">
        <v>2</v>
      </c>
      <c r="M6" s="3">
        <v>1</v>
      </c>
      <c r="N6" s="3">
        <v>9</v>
      </c>
      <c r="O6" s="3">
        <v>3</v>
      </c>
      <c r="P6" s="3">
        <v>15.188065792000099</v>
      </c>
      <c r="Q6" s="2"/>
      <c r="R6" s="2"/>
      <c r="S6" s="2"/>
      <c r="T6" s="2"/>
      <c r="U6" s="2"/>
      <c r="V6" s="2"/>
      <c r="W6" s="2"/>
      <c r="X6" s="2"/>
      <c r="Y6" s="3">
        <v>15.177254625000399</v>
      </c>
      <c r="Z6" s="3">
        <v>15.188065792000099</v>
      </c>
      <c r="AA6" s="3">
        <v>15.669926000000499</v>
      </c>
      <c r="AB6" s="3">
        <v>15.669926000000499</v>
      </c>
      <c r="AC6" s="3">
        <v>15.669926000000499</v>
      </c>
      <c r="AD6" s="3">
        <v>16.6953814170001</v>
      </c>
      <c r="AE6" s="3" t="s">
        <v>59</v>
      </c>
      <c r="AF6" s="3">
        <v>1</v>
      </c>
      <c r="AG6" s="3">
        <v>1.0231317910002</v>
      </c>
      <c r="AH6" s="3" t="s">
        <v>48</v>
      </c>
      <c r="AI6" s="2"/>
      <c r="AJ6" s="2"/>
      <c r="AK6" s="2"/>
      <c r="AL6" s="2"/>
      <c r="AM6" s="3">
        <v>3</v>
      </c>
      <c r="AN6" s="3">
        <v>1</v>
      </c>
      <c r="AO6" s="3" t="s">
        <v>63</v>
      </c>
      <c r="AP6" s="3" t="s">
        <v>50</v>
      </c>
      <c r="AQ6" s="2"/>
      <c r="AR6" s="3" t="s">
        <v>51</v>
      </c>
      <c r="AS6" s="3" t="s">
        <v>48</v>
      </c>
      <c r="AT6" s="3" t="s">
        <v>64</v>
      </c>
      <c r="AU6" s="2"/>
    </row>
    <row r="7" spans="1:47" x14ac:dyDescent="0.2">
      <c r="A7" s="1" t="s">
        <v>60</v>
      </c>
      <c r="B7" s="3" t="s">
        <v>54</v>
      </c>
      <c r="C7" s="3" t="s">
        <v>58</v>
      </c>
      <c r="D7" s="3" t="s">
        <v>56</v>
      </c>
      <c r="E7" s="3">
        <v>11</v>
      </c>
      <c r="F7" s="3">
        <v>3</v>
      </c>
      <c r="G7" s="3">
        <v>2</v>
      </c>
      <c r="H7" s="3" t="s">
        <v>56</v>
      </c>
      <c r="I7" s="3">
        <v>1</v>
      </c>
      <c r="J7" s="3">
        <v>0.64687220800078704</v>
      </c>
      <c r="K7" s="3" t="s">
        <v>48</v>
      </c>
      <c r="L7" s="3">
        <v>2</v>
      </c>
      <c r="M7" s="3">
        <v>3</v>
      </c>
      <c r="N7" s="3">
        <v>11</v>
      </c>
      <c r="O7" s="3">
        <v>0</v>
      </c>
      <c r="P7" s="3">
        <v>18.077033999999902</v>
      </c>
      <c r="Q7" s="2"/>
      <c r="R7" s="2"/>
      <c r="S7" s="2"/>
      <c r="T7" s="2"/>
      <c r="U7" s="2"/>
      <c r="V7" s="2"/>
      <c r="W7" s="2"/>
      <c r="X7" s="2"/>
      <c r="Y7" s="3">
        <v>18.0667967090003</v>
      </c>
      <c r="Z7" s="3">
        <v>18.077033999999902</v>
      </c>
      <c r="AA7" s="3">
        <v>18.5540842500004</v>
      </c>
      <c r="AB7" s="3">
        <v>18.5540842500004</v>
      </c>
      <c r="AC7" s="3">
        <v>18.5540842500004</v>
      </c>
      <c r="AD7" s="3">
        <v>19.206273333999899</v>
      </c>
      <c r="AE7" s="3" t="s">
        <v>56</v>
      </c>
      <c r="AF7" s="3">
        <v>1</v>
      </c>
      <c r="AG7" s="3">
        <v>0.64687220800078704</v>
      </c>
      <c r="AH7" s="3" t="s">
        <v>48</v>
      </c>
      <c r="AI7" s="2"/>
      <c r="AJ7" s="2"/>
      <c r="AK7" s="2"/>
      <c r="AL7" s="2"/>
      <c r="AM7" s="3">
        <v>3</v>
      </c>
      <c r="AN7" s="3">
        <v>1</v>
      </c>
      <c r="AO7" s="3" t="s">
        <v>63</v>
      </c>
      <c r="AP7" s="3" t="s">
        <v>50</v>
      </c>
      <c r="AQ7" s="2"/>
      <c r="AR7" s="3" t="s">
        <v>51</v>
      </c>
      <c r="AS7" s="3" t="s">
        <v>48</v>
      </c>
      <c r="AT7" s="3" t="s">
        <v>64</v>
      </c>
      <c r="AU7" s="2"/>
    </row>
    <row r="8" spans="1:47" x14ac:dyDescent="0.2">
      <c r="A8" s="1" t="s">
        <v>53</v>
      </c>
      <c r="B8" s="3" t="s">
        <v>57</v>
      </c>
      <c r="C8" s="3" t="s">
        <v>58</v>
      </c>
      <c r="D8" s="3" t="s">
        <v>59</v>
      </c>
      <c r="E8" s="3">
        <v>12</v>
      </c>
      <c r="F8" s="3">
        <v>0</v>
      </c>
      <c r="G8" s="3">
        <v>3</v>
      </c>
      <c r="H8" s="3" t="s">
        <v>59</v>
      </c>
      <c r="I8" s="3">
        <v>1</v>
      </c>
      <c r="J8" s="3">
        <v>0.74644683299993597</v>
      </c>
      <c r="K8" s="3" t="s">
        <v>48</v>
      </c>
      <c r="L8" s="3">
        <v>3</v>
      </c>
      <c r="M8" s="3">
        <v>0</v>
      </c>
      <c r="N8" s="3">
        <v>12</v>
      </c>
      <c r="O8" s="3">
        <v>3</v>
      </c>
      <c r="P8" s="3">
        <v>19.222770292</v>
      </c>
      <c r="Q8" s="2"/>
      <c r="R8" s="2"/>
      <c r="S8" s="2"/>
      <c r="T8" s="2"/>
      <c r="U8" s="2"/>
      <c r="V8" s="2"/>
      <c r="W8" s="2"/>
      <c r="X8" s="2"/>
      <c r="Y8" s="3">
        <v>19.210581334000398</v>
      </c>
      <c r="Z8" s="3">
        <v>19.222770292</v>
      </c>
      <c r="AA8" s="3">
        <v>19.7056541250004</v>
      </c>
      <c r="AB8" s="3">
        <v>19.7056541250004</v>
      </c>
      <c r="AC8" s="3">
        <v>19.7056541250004</v>
      </c>
      <c r="AD8" s="3">
        <v>20.456400417000602</v>
      </c>
      <c r="AE8" s="3" t="s">
        <v>59</v>
      </c>
      <c r="AF8" s="3">
        <v>1</v>
      </c>
      <c r="AG8" s="3">
        <v>0.74644683299993597</v>
      </c>
      <c r="AH8" s="3" t="s">
        <v>48</v>
      </c>
      <c r="AI8" s="2"/>
      <c r="AJ8" s="2"/>
      <c r="AK8" s="2"/>
      <c r="AL8" s="2"/>
      <c r="AM8" s="3">
        <v>3</v>
      </c>
      <c r="AN8" s="3">
        <v>1</v>
      </c>
      <c r="AO8" s="3" t="s">
        <v>63</v>
      </c>
      <c r="AP8" s="3" t="s">
        <v>50</v>
      </c>
      <c r="AQ8" s="2"/>
      <c r="AR8" s="3" t="s">
        <v>51</v>
      </c>
      <c r="AS8" s="3" t="s">
        <v>48</v>
      </c>
      <c r="AT8" s="3" t="s">
        <v>64</v>
      </c>
      <c r="AU8" s="2"/>
    </row>
    <row r="9" spans="1:47" x14ac:dyDescent="0.2">
      <c r="A9" s="1" t="s">
        <v>60</v>
      </c>
      <c r="B9" s="3" t="s">
        <v>54</v>
      </c>
      <c r="C9" s="3" t="s">
        <v>58</v>
      </c>
      <c r="D9" s="3" t="s">
        <v>56</v>
      </c>
      <c r="E9" s="3">
        <v>13</v>
      </c>
      <c r="F9" s="3">
        <v>1</v>
      </c>
      <c r="G9" s="3">
        <v>3</v>
      </c>
      <c r="H9" s="3" t="s">
        <v>56</v>
      </c>
      <c r="I9" s="3">
        <v>1</v>
      </c>
      <c r="J9" s="3">
        <v>0.83834787499927199</v>
      </c>
      <c r="K9" s="3" t="s">
        <v>48</v>
      </c>
      <c r="L9" s="3">
        <v>3</v>
      </c>
      <c r="M9" s="3">
        <v>1</v>
      </c>
      <c r="N9" s="3">
        <v>13</v>
      </c>
      <c r="O9" s="3">
        <v>0</v>
      </c>
      <c r="P9" s="3">
        <v>20.473422084000099</v>
      </c>
      <c r="Q9" s="2"/>
      <c r="R9" s="2"/>
      <c r="S9" s="2"/>
      <c r="T9" s="2"/>
      <c r="U9" s="2"/>
      <c r="V9" s="2"/>
      <c r="W9" s="2"/>
      <c r="X9" s="2"/>
      <c r="Y9" s="3">
        <v>20.4616928340001</v>
      </c>
      <c r="Z9" s="3">
        <v>20.473422084000099</v>
      </c>
      <c r="AA9" s="3">
        <v>20.953711666999901</v>
      </c>
      <c r="AB9" s="3">
        <v>20.953711666999901</v>
      </c>
      <c r="AC9" s="3">
        <v>20.953711666999901</v>
      </c>
      <c r="AD9" s="3">
        <v>21.795758416999899</v>
      </c>
      <c r="AE9" s="3" t="s">
        <v>56</v>
      </c>
      <c r="AF9" s="3">
        <v>1</v>
      </c>
      <c r="AG9" s="3">
        <v>0.83834787499927199</v>
      </c>
      <c r="AH9" s="3" t="s">
        <v>48</v>
      </c>
      <c r="AI9" s="2"/>
      <c r="AJ9" s="2"/>
      <c r="AK9" s="2"/>
      <c r="AL9" s="2"/>
      <c r="AM9" s="3">
        <v>3</v>
      </c>
      <c r="AN9" s="3">
        <v>1</v>
      </c>
      <c r="AO9" s="3" t="s">
        <v>63</v>
      </c>
      <c r="AP9" s="3" t="s">
        <v>50</v>
      </c>
      <c r="AQ9" s="2"/>
      <c r="AR9" s="3" t="s">
        <v>51</v>
      </c>
      <c r="AS9" s="3" t="s">
        <v>48</v>
      </c>
      <c r="AT9" s="3" t="s">
        <v>64</v>
      </c>
      <c r="AU9" s="2"/>
    </row>
    <row r="10" spans="1:47" x14ac:dyDescent="0.2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2"/>
      <c r="R10" s="2"/>
      <c r="S10" s="2"/>
      <c r="T10" s="2"/>
      <c r="U10" s="2"/>
      <c r="V10" s="2"/>
      <c r="W10" s="2"/>
      <c r="X10" s="2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2"/>
      <c r="AJ10" s="2"/>
      <c r="AK10" s="2"/>
      <c r="AL10" s="2"/>
      <c r="AM10" s="3"/>
      <c r="AN10" s="3"/>
      <c r="AO10" s="3"/>
      <c r="AP10" s="3"/>
      <c r="AQ10" s="2"/>
      <c r="AR10" s="3"/>
      <c r="AS10" s="3"/>
      <c r="AT10" s="3"/>
      <c r="AU10" s="2"/>
    </row>
    <row r="11" spans="1:47" x14ac:dyDescent="0.2">
      <c r="A11" s="1" t="s">
        <v>60</v>
      </c>
      <c r="B11" s="3" t="s">
        <v>54</v>
      </c>
      <c r="C11" s="3" t="s">
        <v>58</v>
      </c>
      <c r="D11" s="3" t="s">
        <v>56</v>
      </c>
      <c r="E11" s="3">
        <v>19</v>
      </c>
      <c r="F11" s="3">
        <v>3</v>
      </c>
      <c r="G11" s="3">
        <v>4</v>
      </c>
      <c r="H11" s="3" t="s">
        <v>56</v>
      </c>
      <c r="I11" s="3">
        <v>1</v>
      </c>
      <c r="J11" s="3">
        <v>1.08783116599989</v>
      </c>
      <c r="K11" s="3" t="s">
        <v>48</v>
      </c>
      <c r="L11" s="3">
        <v>4</v>
      </c>
      <c r="M11" s="3">
        <v>3</v>
      </c>
      <c r="N11" s="3">
        <v>19</v>
      </c>
      <c r="O11" s="3">
        <v>0</v>
      </c>
      <c r="P11" s="3">
        <v>30.370531833999902</v>
      </c>
      <c r="Q11" s="2"/>
      <c r="R11" s="2"/>
      <c r="S11" s="2"/>
      <c r="T11" s="2"/>
      <c r="U11" s="2"/>
      <c r="V11" s="2"/>
      <c r="W11" s="2"/>
      <c r="X11" s="2"/>
      <c r="Y11" s="3">
        <v>30.357879167000601</v>
      </c>
      <c r="Z11" s="3">
        <v>30.370531833999902</v>
      </c>
      <c r="AA11" s="3">
        <v>30.854224458999902</v>
      </c>
      <c r="AB11" s="3">
        <v>30.854224458999902</v>
      </c>
      <c r="AC11" s="3">
        <v>30.854224458999902</v>
      </c>
      <c r="AD11" s="3">
        <v>31.9459083339998</v>
      </c>
      <c r="AE11" s="3" t="s">
        <v>56</v>
      </c>
      <c r="AF11" s="3">
        <v>1</v>
      </c>
      <c r="AG11" s="3">
        <v>1.08783116599989</v>
      </c>
      <c r="AH11" s="3" t="s">
        <v>48</v>
      </c>
      <c r="AI11" s="2"/>
      <c r="AJ11" s="2"/>
      <c r="AK11" s="2"/>
      <c r="AL11" s="2"/>
      <c r="AM11" s="3">
        <v>3</v>
      </c>
      <c r="AN11" s="3">
        <v>1</v>
      </c>
      <c r="AO11" s="3" t="s">
        <v>63</v>
      </c>
      <c r="AP11" s="3" t="s">
        <v>50</v>
      </c>
      <c r="AQ11" s="2"/>
      <c r="AR11" s="3" t="s">
        <v>51</v>
      </c>
      <c r="AS11" s="3" t="s">
        <v>48</v>
      </c>
      <c r="AT11" s="3" t="s">
        <v>64</v>
      </c>
      <c r="AU11" s="2"/>
    </row>
    <row r="12" spans="1:47" x14ac:dyDescent="0.2">
      <c r="A12" s="1" t="s">
        <v>60</v>
      </c>
      <c r="B12" s="3" t="s">
        <v>54</v>
      </c>
      <c r="C12" s="3" t="s">
        <v>58</v>
      </c>
      <c r="D12" s="3" t="s">
        <v>56</v>
      </c>
      <c r="E12" s="3">
        <v>20</v>
      </c>
      <c r="F12" s="3">
        <v>0</v>
      </c>
      <c r="G12" s="3">
        <v>5</v>
      </c>
      <c r="H12" s="3" t="s">
        <v>56</v>
      </c>
      <c r="I12" s="3">
        <v>1</v>
      </c>
      <c r="J12" s="3">
        <v>1.05741070800013</v>
      </c>
      <c r="K12" s="3" t="s">
        <v>48</v>
      </c>
      <c r="L12" s="3">
        <v>5</v>
      </c>
      <c r="M12" s="3">
        <v>0</v>
      </c>
      <c r="N12" s="3">
        <v>20</v>
      </c>
      <c r="O12" s="3">
        <v>0</v>
      </c>
      <c r="P12" s="3">
        <v>31.9589618750006</v>
      </c>
      <c r="Q12" s="2"/>
      <c r="R12" s="2"/>
      <c r="S12" s="2"/>
      <c r="T12" s="2"/>
      <c r="U12" s="2"/>
      <c r="V12" s="2"/>
      <c r="W12" s="2"/>
      <c r="X12" s="2"/>
      <c r="Y12" s="3">
        <v>31.946863250000199</v>
      </c>
      <c r="Z12" s="3">
        <v>31.9589618750006</v>
      </c>
      <c r="AA12" s="3">
        <v>32.437595209000399</v>
      </c>
      <c r="AB12" s="3">
        <v>32.437595209000399</v>
      </c>
      <c r="AC12" s="3">
        <v>32.437595209000399</v>
      </c>
      <c r="AD12" s="3">
        <v>33.506711292000503</v>
      </c>
      <c r="AE12" s="3" t="s">
        <v>56</v>
      </c>
      <c r="AF12" s="3">
        <v>1</v>
      </c>
      <c r="AG12" s="3">
        <v>1.05741070800013</v>
      </c>
      <c r="AH12" s="3" t="s">
        <v>48</v>
      </c>
      <c r="AI12" s="2"/>
      <c r="AJ12" s="2"/>
      <c r="AK12" s="2"/>
      <c r="AL12" s="2"/>
      <c r="AM12" s="3">
        <v>3</v>
      </c>
      <c r="AN12" s="3">
        <v>1</v>
      </c>
      <c r="AO12" s="3" t="s">
        <v>63</v>
      </c>
      <c r="AP12" s="3" t="s">
        <v>50</v>
      </c>
      <c r="AQ12" s="2"/>
      <c r="AR12" s="3" t="s">
        <v>51</v>
      </c>
      <c r="AS12" s="3" t="s">
        <v>48</v>
      </c>
      <c r="AT12" s="3" t="s">
        <v>64</v>
      </c>
      <c r="AU12" s="2"/>
    </row>
    <row r="13" spans="1:47" x14ac:dyDescent="0.2">
      <c r="A13" s="1" t="s">
        <v>53</v>
      </c>
      <c r="B13" s="3" t="s">
        <v>57</v>
      </c>
      <c r="C13" s="3" t="s">
        <v>58</v>
      </c>
      <c r="D13" s="3" t="s">
        <v>59</v>
      </c>
      <c r="E13" s="3">
        <v>23</v>
      </c>
      <c r="F13" s="3">
        <v>3</v>
      </c>
      <c r="G13" s="3">
        <v>5</v>
      </c>
      <c r="H13" s="3" t="s">
        <v>59</v>
      </c>
      <c r="I13" s="3">
        <v>1</v>
      </c>
      <c r="J13" s="3">
        <v>1.8793977079994899</v>
      </c>
      <c r="K13" s="3" t="s">
        <v>48</v>
      </c>
      <c r="L13" s="3">
        <v>5</v>
      </c>
      <c r="M13" s="3">
        <v>3</v>
      </c>
      <c r="N13" s="3">
        <v>23</v>
      </c>
      <c r="O13" s="3">
        <v>3</v>
      </c>
      <c r="P13" s="3">
        <v>36.157489167000698</v>
      </c>
      <c r="Q13" s="2"/>
      <c r="R13" s="2"/>
      <c r="S13" s="2"/>
      <c r="T13" s="2"/>
      <c r="U13" s="2"/>
      <c r="V13" s="2"/>
      <c r="W13" s="2"/>
      <c r="X13" s="2"/>
      <c r="Y13" s="3">
        <v>36.145157083999997</v>
      </c>
      <c r="Z13" s="3">
        <v>36.157489167000698</v>
      </c>
      <c r="AA13" s="3">
        <v>36.637658125000598</v>
      </c>
      <c r="AB13" s="3">
        <v>36.637658125000598</v>
      </c>
      <c r="AC13" s="3">
        <v>36.637658125000598</v>
      </c>
      <c r="AD13" s="3">
        <v>38.523257542000501</v>
      </c>
      <c r="AE13" s="3" t="s">
        <v>59</v>
      </c>
      <c r="AF13" s="3">
        <v>1</v>
      </c>
      <c r="AG13" s="3">
        <v>1.8793977079994899</v>
      </c>
      <c r="AH13" s="3" t="s">
        <v>48</v>
      </c>
      <c r="AI13" s="2"/>
      <c r="AJ13" s="2"/>
      <c r="AK13" s="2"/>
      <c r="AL13" s="2"/>
      <c r="AM13" s="3">
        <v>3</v>
      </c>
      <c r="AN13" s="3">
        <v>1</v>
      </c>
      <c r="AO13" s="3" t="s">
        <v>63</v>
      </c>
      <c r="AP13" s="3" t="s">
        <v>50</v>
      </c>
      <c r="AQ13" s="2"/>
      <c r="AR13" s="3" t="s">
        <v>51</v>
      </c>
      <c r="AS13" s="3" t="s">
        <v>48</v>
      </c>
      <c r="AT13" s="3" t="s">
        <v>64</v>
      </c>
      <c r="AU13" s="2"/>
    </row>
    <row r="14" spans="1:47" x14ac:dyDescent="0.2">
      <c r="A14" s="1" t="s">
        <v>60</v>
      </c>
      <c r="B14" s="3" t="s">
        <v>54</v>
      </c>
      <c r="C14" s="3" t="s">
        <v>58</v>
      </c>
      <c r="D14" s="3" t="s">
        <v>56</v>
      </c>
      <c r="E14" s="3">
        <v>24</v>
      </c>
      <c r="F14" s="3">
        <v>0</v>
      </c>
      <c r="G14" s="3">
        <v>6</v>
      </c>
      <c r="H14" s="3" t="s">
        <v>56</v>
      </c>
      <c r="I14" s="3">
        <v>1</v>
      </c>
      <c r="J14" s="3">
        <v>0.717633541000396</v>
      </c>
      <c r="K14" s="3" t="s">
        <v>48</v>
      </c>
      <c r="L14" s="3">
        <v>6</v>
      </c>
      <c r="M14" s="3">
        <v>0</v>
      </c>
      <c r="N14" s="3">
        <v>24</v>
      </c>
      <c r="O14" s="3">
        <v>0</v>
      </c>
      <c r="P14" s="3">
        <v>38.539471500000197</v>
      </c>
      <c r="Q14" s="2"/>
      <c r="R14" s="2"/>
      <c r="S14" s="2"/>
      <c r="T14" s="2"/>
      <c r="U14" s="2"/>
      <c r="V14" s="2"/>
      <c r="W14" s="2"/>
      <c r="X14" s="2"/>
      <c r="Y14" s="3">
        <v>38.5278826670001</v>
      </c>
      <c r="Z14" s="3">
        <v>38.539471500000197</v>
      </c>
      <c r="AA14" s="3">
        <v>39.020368958999804</v>
      </c>
      <c r="AB14" s="3">
        <v>39.020368958999804</v>
      </c>
      <c r="AC14" s="3">
        <v>39.020368958999804</v>
      </c>
      <c r="AD14" s="3">
        <v>39.739742333999899</v>
      </c>
      <c r="AE14" s="3" t="s">
        <v>56</v>
      </c>
      <c r="AF14" s="3">
        <v>1</v>
      </c>
      <c r="AG14" s="3">
        <v>0.717633541000396</v>
      </c>
      <c r="AH14" s="3" t="s">
        <v>48</v>
      </c>
      <c r="AI14" s="2"/>
      <c r="AJ14" s="2"/>
      <c r="AK14" s="2"/>
      <c r="AL14" s="2"/>
      <c r="AM14" s="3">
        <v>3</v>
      </c>
      <c r="AN14" s="3">
        <v>1</v>
      </c>
      <c r="AO14" s="3" t="s">
        <v>63</v>
      </c>
      <c r="AP14" s="3" t="s">
        <v>50</v>
      </c>
      <c r="AQ14" s="2"/>
      <c r="AR14" s="3" t="s">
        <v>51</v>
      </c>
      <c r="AS14" s="3" t="s">
        <v>48</v>
      </c>
      <c r="AT14" s="3" t="s">
        <v>64</v>
      </c>
      <c r="AU14" s="2"/>
    </row>
    <row r="15" spans="1:47" x14ac:dyDescent="0.2">
      <c r="A15" s="1" t="s">
        <v>53</v>
      </c>
      <c r="B15" s="3" t="s">
        <v>57</v>
      </c>
      <c r="C15" s="3" t="s">
        <v>58</v>
      </c>
      <c r="D15" s="3" t="s">
        <v>59</v>
      </c>
      <c r="E15" s="3">
        <v>27</v>
      </c>
      <c r="F15" s="3">
        <v>3</v>
      </c>
      <c r="G15" s="3">
        <v>6</v>
      </c>
      <c r="H15" s="3" t="s">
        <v>59</v>
      </c>
      <c r="I15" s="3">
        <v>1</v>
      </c>
      <c r="J15" s="3">
        <v>0.82134808299997497</v>
      </c>
      <c r="K15" s="3" t="s">
        <v>48</v>
      </c>
      <c r="L15" s="3">
        <v>6</v>
      </c>
      <c r="M15" s="3">
        <v>3</v>
      </c>
      <c r="N15" s="3">
        <v>27</v>
      </c>
      <c r="O15" s="3">
        <v>3</v>
      </c>
      <c r="P15" s="3">
        <v>42.959964250000702</v>
      </c>
      <c r="Q15" s="2"/>
      <c r="R15" s="2"/>
      <c r="S15" s="2"/>
      <c r="T15" s="2"/>
      <c r="U15" s="2"/>
      <c r="V15" s="2"/>
      <c r="W15" s="2"/>
      <c r="X15" s="2"/>
      <c r="Y15" s="3">
        <v>42.947698584000101</v>
      </c>
      <c r="Z15" s="3">
        <v>42.959964250000702</v>
      </c>
      <c r="AA15" s="3">
        <v>43.444721249999901</v>
      </c>
      <c r="AB15" s="3">
        <v>43.444721249999901</v>
      </c>
      <c r="AC15" s="3">
        <v>43.444721249999901</v>
      </c>
      <c r="AD15" s="3">
        <v>44.2735832500002</v>
      </c>
      <c r="AE15" s="3" t="s">
        <v>59</v>
      </c>
      <c r="AF15" s="3">
        <v>1</v>
      </c>
      <c r="AG15" s="3">
        <v>0.82134808299997497</v>
      </c>
      <c r="AH15" s="3" t="s">
        <v>48</v>
      </c>
      <c r="AI15" s="2"/>
      <c r="AJ15" s="2"/>
      <c r="AK15" s="2"/>
      <c r="AL15" s="2"/>
      <c r="AM15" s="3">
        <v>3</v>
      </c>
      <c r="AN15" s="3">
        <v>1</v>
      </c>
      <c r="AO15" s="3" t="s">
        <v>63</v>
      </c>
      <c r="AP15" s="3" t="s">
        <v>50</v>
      </c>
      <c r="AQ15" s="2"/>
      <c r="AR15" s="3" t="s">
        <v>51</v>
      </c>
      <c r="AS15" s="3" t="s">
        <v>48</v>
      </c>
      <c r="AT15" s="3" t="s">
        <v>64</v>
      </c>
      <c r="AU15" s="2"/>
    </row>
    <row r="16" spans="1:47" x14ac:dyDescent="0.2">
      <c r="A16" s="1" t="s">
        <v>53</v>
      </c>
      <c r="B16" s="3" t="s">
        <v>57</v>
      </c>
      <c r="C16" s="3" t="s">
        <v>58</v>
      </c>
      <c r="D16" s="3" t="s">
        <v>59</v>
      </c>
      <c r="E16" s="3">
        <v>30</v>
      </c>
      <c r="F16" s="3">
        <v>2</v>
      </c>
      <c r="G16" s="3">
        <v>7</v>
      </c>
      <c r="H16" s="3" t="s">
        <v>59</v>
      </c>
      <c r="I16" s="3">
        <v>1</v>
      </c>
      <c r="J16" s="3">
        <v>0.83761570800015805</v>
      </c>
      <c r="K16" s="3" t="s">
        <v>48</v>
      </c>
      <c r="L16" s="3">
        <v>7</v>
      </c>
      <c r="M16" s="3">
        <v>2</v>
      </c>
      <c r="N16" s="3">
        <v>30</v>
      </c>
      <c r="O16" s="3">
        <v>3</v>
      </c>
      <c r="P16" s="3">
        <v>47.223464125000604</v>
      </c>
      <c r="Q16" s="2"/>
      <c r="R16" s="2"/>
      <c r="S16" s="2"/>
      <c r="T16" s="2"/>
      <c r="U16" s="2"/>
      <c r="V16" s="2"/>
      <c r="W16" s="2"/>
      <c r="X16" s="2"/>
      <c r="Y16" s="3">
        <v>47.211900875000502</v>
      </c>
      <c r="Z16" s="3">
        <v>47.223464125000604</v>
      </c>
      <c r="AA16" s="3">
        <v>47.7044732499999</v>
      </c>
      <c r="AB16" s="3">
        <v>47.7044732499999</v>
      </c>
      <c r="AC16" s="3">
        <v>47.7044732499999</v>
      </c>
      <c r="AD16" s="3">
        <v>48.546549084000603</v>
      </c>
      <c r="AE16" s="3" t="s">
        <v>59</v>
      </c>
      <c r="AF16" s="3">
        <v>1</v>
      </c>
      <c r="AG16" s="3">
        <v>0.83761570800015805</v>
      </c>
      <c r="AH16" s="3" t="s">
        <v>48</v>
      </c>
      <c r="AI16" s="2"/>
      <c r="AJ16" s="2"/>
      <c r="AK16" s="2"/>
      <c r="AL16" s="2"/>
      <c r="AM16" s="3">
        <v>3</v>
      </c>
      <c r="AN16" s="3">
        <v>1</v>
      </c>
      <c r="AO16" s="3" t="s">
        <v>63</v>
      </c>
      <c r="AP16" s="3" t="s">
        <v>50</v>
      </c>
      <c r="AQ16" s="2"/>
      <c r="AR16" s="3" t="s">
        <v>51</v>
      </c>
      <c r="AS16" s="3" t="s">
        <v>48</v>
      </c>
      <c r="AT16" s="3" t="s">
        <v>64</v>
      </c>
      <c r="AU16" s="2"/>
    </row>
    <row r="17" spans="1:47" x14ac:dyDescent="0.2">
      <c r="A17" s="1" t="s">
        <v>60</v>
      </c>
      <c r="B17" s="3" t="s">
        <v>54</v>
      </c>
      <c r="C17" s="3" t="s">
        <v>58</v>
      </c>
      <c r="D17" s="3" t="s">
        <v>56</v>
      </c>
      <c r="E17" s="3">
        <v>31</v>
      </c>
      <c r="F17" s="3">
        <v>3</v>
      </c>
      <c r="G17" s="3">
        <v>7</v>
      </c>
      <c r="H17" s="3" t="s">
        <v>56</v>
      </c>
      <c r="I17" s="3">
        <v>1</v>
      </c>
      <c r="J17" s="3">
        <v>0.69514095799968401</v>
      </c>
      <c r="K17" s="3" t="s">
        <v>48</v>
      </c>
      <c r="L17" s="3">
        <v>7</v>
      </c>
      <c r="M17" s="3">
        <v>3</v>
      </c>
      <c r="N17" s="3">
        <v>31</v>
      </c>
      <c r="O17" s="3">
        <v>0</v>
      </c>
      <c r="P17" s="3">
        <v>48.562136625000697</v>
      </c>
      <c r="Q17" s="2"/>
      <c r="R17" s="2"/>
      <c r="S17" s="2"/>
      <c r="T17" s="2"/>
      <c r="U17" s="2"/>
      <c r="V17" s="2"/>
      <c r="W17" s="2"/>
      <c r="X17" s="2"/>
      <c r="Y17" s="3">
        <v>48.551514124999798</v>
      </c>
      <c r="Z17" s="3">
        <v>48.562136625000697</v>
      </c>
      <c r="AA17" s="3">
        <v>49.054894375000003</v>
      </c>
      <c r="AB17" s="3">
        <v>49.054894375000003</v>
      </c>
      <c r="AC17" s="3">
        <v>49.054894375000003</v>
      </c>
      <c r="AD17" s="3">
        <v>49.756639000000199</v>
      </c>
      <c r="AE17" s="3" t="s">
        <v>56</v>
      </c>
      <c r="AF17" s="3">
        <v>1</v>
      </c>
      <c r="AG17" s="3">
        <v>0.69514095799968401</v>
      </c>
      <c r="AH17" s="3" t="s">
        <v>48</v>
      </c>
      <c r="AI17" s="2"/>
      <c r="AJ17" s="2"/>
      <c r="AK17" s="2"/>
      <c r="AL17" s="2"/>
      <c r="AM17" s="3">
        <v>3</v>
      </c>
      <c r="AN17" s="3">
        <v>1</v>
      </c>
      <c r="AO17" s="3" t="s">
        <v>63</v>
      </c>
      <c r="AP17" s="3" t="s">
        <v>50</v>
      </c>
      <c r="AQ17" s="2"/>
      <c r="AR17" s="3" t="s">
        <v>51</v>
      </c>
      <c r="AS17" s="3" t="s">
        <v>48</v>
      </c>
      <c r="AT17" s="3" t="s">
        <v>64</v>
      </c>
      <c r="AU17" s="2"/>
    </row>
    <row r="18" spans="1:47" x14ac:dyDescent="0.2">
      <c r="A18" s="1" t="s">
        <v>53</v>
      </c>
      <c r="B18" s="3" t="s">
        <v>57</v>
      </c>
      <c r="C18" s="3" t="s">
        <v>58</v>
      </c>
      <c r="D18" s="3" t="s">
        <v>59</v>
      </c>
      <c r="E18" s="3">
        <v>34</v>
      </c>
      <c r="F18" s="3">
        <v>2</v>
      </c>
      <c r="G18" s="3">
        <v>8</v>
      </c>
      <c r="H18" s="3" t="s">
        <v>59</v>
      </c>
      <c r="I18" s="3">
        <v>1</v>
      </c>
      <c r="J18" s="3">
        <v>0.66432566599996801</v>
      </c>
      <c r="K18" s="3" t="s">
        <v>48</v>
      </c>
      <c r="L18" s="3">
        <v>8</v>
      </c>
      <c r="M18" s="3">
        <v>2</v>
      </c>
      <c r="N18" s="3">
        <v>34</v>
      </c>
      <c r="O18" s="3">
        <v>3</v>
      </c>
      <c r="P18" s="3">
        <v>52.7542101250001</v>
      </c>
      <c r="Q18" s="2"/>
      <c r="R18" s="2"/>
      <c r="S18" s="2"/>
      <c r="T18" s="2"/>
      <c r="U18" s="2"/>
      <c r="V18" s="2"/>
      <c r="W18" s="2"/>
      <c r="X18" s="2"/>
      <c r="Y18" s="3">
        <v>52.741396209000399</v>
      </c>
      <c r="Z18" s="3">
        <v>52.7542101250001</v>
      </c>
      <c r="AA18" s="3">
        <v>53.246740500000698</v>
      </c>
      <c r="AB18" s="3">
        <v>53.246740500000698</v>
      </c>
      <c r="AC18" s="3">
        <v>53.246740500000698</v>
      </c>
      <c r="AD18" s="3">
        <v>53.912928292000302</v>
      </c>
      <c r="AE18" s="3" t="s">
        <v>59</v>
      </c>
      <c r="AF18" s="3">
        <v>1</v>
      </c>
      <c r="AG18" s="3">
        <v>0.66432566599996801</v>
      </c>
      <c r="AH18" s="3" t="s">
        <v>48</v>
      </c>
      <c r="AI18" s="2"/>
      <c r="AJ18" s="2"/>
      <c r="AK18" s="2"/>
      <c r="AL18" s="2"/>
      <c r="AM18" s="3">
        <v>3</v>
      </c>
      <c r="AN18" s="3">
        <v>1</v>
      </c>
      <c r="AO18" s="3" t="s">
        <v>63</v>
      </c>
      <c r="AP18" s="3" t="s">
        <v>50</v>
      </c>
      <c r="AQ18" s="2"/>
      <c r="AR18" s="3" t="s">
        <v>51</v>
      </c>
      <c r="AS18" s="3" t="s">
        <v>48</v>
      </c>
      <c r="AT18" s="3" t="s">
        <v>64</v>
      </c>
      <c r="AU18" s="2"/>
    </row>
    <row r="19" spans="1:47" x14ac:dyDescent="0.2">
      <c r="A19" s="1" t="s">
        <v>60</v>
      </c>
      <c r="B19" s="3" t="s">
        <v>54</v>
      </c>
      <c r="C19" s="3" t="s">
        <v>58</v>
      </c>
      <c r="D19" s="3" t="s">
        <v>56</v>
      </c>
      <c r="E19" s="3">
        <v>35</v>
      </c>
      <c r="F19" s="3">
        <v>3</v>
      </c>
      <c r="G19" s="3">
        <v>8</v>
      </c>
      <c r="H19" s="3" t="s">
        <v>56</v>
      </c>
      <c r="I19" s="3">
        <v>1</v>
      </c>
      <c r="J19" s="3">
        <v>0.688592625000638</v>
      </c>
      <c r="K19" s="3" t="s">
        <v>48</v>
      </c>
      <c r="L19" s="3">
        <v>8</v>
      </c>
      <c r="M19" s="3">
        <v>3</v>
      </c>
      <c r="N19" s="3">
        <v>35</v>
      </c>
      <c r="O19" s="3">
        <v>0</v>
      </c>
      <c r="P19" s="3">
        <v>53.928089125</v>
      </c>
      <c r="Q19" s="2"/>
      <c r="R19" s="2"/>
      <c r="S19" s="2"/>
      <c r="T19" s="2"/>
      <c r="U19" s="2"/>
      <c r="V19" s="2"/>
      <c r="W19" s="2"/>
      <c r="X19" s="2"/>
      <c r="Y19" s="3">
        <v>53.917649417000597</v>
      </c>
      <c r="Z19" s="3">
        <v>53.928089125</v>
      </c>
      <c r="AA19" s="3">
        <v>54.421541624999897</v>
      </c>
      <c r="AB19" s="3">
        <v>54.421541624999897</v>
      </c>
      <c r="AC19" s="3">
        <v>54.421541624999897</v>
      </c>
      <c r="AD19" s="3">
        <v>55.112922416999901</v>
      </c>
      <c r="AE19" s="3" t="s">
        <v>56</v>
      </c>
      <c r="AF19" s="3">
        <v>1</v>
      </c>
      <c r="AG19" s="3">
        <v>0.688592625000638</v>
      </c>
      <c r="AH19" s="3" t="s">
        <v>48</v>
      </c>
      <c r="AI19" s="2"/>
      <c r="AJ19" s="2"/>
      <c r="AK19" s="2"/>
      <c r="AL19" s="2"/>
      <c r="AM19" s="3">
        <v>3</v>
      </c>
      <c r="AN19" s="3">
        <v>1</v>
      </c>
      <c r="AO19" s="3" t="s">
        <v>63</v>
      </c>
      <c r="AP19" s="3" t="s">
        <v>50</v>
      </c>
      <c r="AQ19" s="2"/>
      <c r="AR19" s="3" t="s">
        <v>51</v>
      </c>
      <c r="AS19" s="3" t="s">
        <v>48</v>
      </c>
      <c r="AT19" s="3" t="s">
        <v>64</v>
      </c>
      <c r="AU19" s="2"/>
    </row>
    <row r="20" spans="1:47" x14ac:dyDescent="0.2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2"/>
      <c r="R20" s="2"/>
      <c r="S20" s="2"/>
      <c r="T20" s="2"/>
      <c r="U20" s="2"/>
      <c r="V20" s="2"/>
      <c r="W20" s="2"/>
      <c r="X20" s="2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2"/>
      <c r="AJ20" s="2"/>
      <c r="AK20" s="2"/>
      <c r="AL20" s="2"/>
      <c r="AM20" s="3"/>
      <c r="AN20" s="3"/>
      <c r="AO20" s="3"/>
      <c r="AP20" s="3"/>
      <c r="AQ20" s="2"/>
      <c r="AR20" s="3"/>
      <c r="AS20" s="3"/>
      <c r="AT20" s="3"/>
      <c r="AU20" s="2"/>
    </row>
    <row r="21" spans="1:47" x14ac:dyDescent="0.2">
      <c r="A21" s="1" t="s">
        <v>53</v>
      </c>
      <c r="B21" s="3" t="s">
        <v>57</v>
      </c>
      <c r="C21" s="3" t="s">
        <v>58</v>
      </c>
      <c r="D21" s="3" t="s">
        <v>59</v>
      </c>
      <c r="E21" s="3">
        <v>39</v>
      </c>
      <c r="F21" s="3">
        <v>3</v>
      </c>
      <c r="G21" s="3">
        <v>9</v>
      </c>
      <c r="H21" s="3" t="s">
        <v>59</v>
      </c>
      <c r="I21" s="3">
        <v>1</v>
      </c>
      <c r="J21" s="3">
        <v>1.63496024999949</v>
      </c>
      <c r="K21" s="3" t="s">
        <v>48</v>
      </c>
      <c r="L21" s="3">
        <v>9</v>
      </c>
      <c r="M21" s="3">
        <v>3</v>
      </c>
      <c r="N21" s="3">
        <v>39</v>
      </c>
      <c r="O21" s="3">
        <v>3</v>
      </c>
      <c r="P21" s="3">
        <v>59.110499166999901</v>
      </c>
      <c r="Q21" s="2"/>
      <c r="R21" s="2"/>
      <c r="S21" s="2"/>
      <c r="T21" s="2"/>
      <c r="U21" s="2"/>
      <c r="V21" s="2"/>
      <c r="W21" s="2"/>
      <c r="X21" s="2"/>
      <c r="Y21" s="3">
        <v>59.100052875000102</v>
      </c>
      <c r="Z21" s="3">
        <v>59.110499166999901</v>
      </c>
      <c r="AA21" s="3">
        <v>59.604957334000602</v>
      </c>
      <c r="AB21" s="3">
        <v>59.604957334000602</v>
      </c>
      <c r="AC21" s="3">
        <v>59.604957334000602</v>
      </c>
      <c r="AD21" s="3">
        <v>61.247024250000301</v>
      </c>
      <c r="AE21" s="3" t="s">
        <v>59</v>
      </c>
      <c r="AF21" s="3">
        <v>1</v>
      </c>
      <c r="AG21" s="3">
        <v>1.63496024999949</v>
      </c>
      <c r="AH21" s="3" t="s">
        <v>48</v>
      </c>
      <c r="AI21" s="2"/>
      <c r="AJ21" s="2"/>
      <c r="AK21" s="2"/>
      <c r="AL21" s="2"/>
      <c r="AM21" s="3">
        <v>3</v>
      </c>
      <c r="AN21" s="3">
        <v>1</v>
      </c>
      <c r="AO21" s="3" t="s">
        <v>63</v>
      </c>
      <c r="AP21" s="3" t="s">
        <v>50</v>
      </c>
      <c r="AQ21" s="2"/>
      <c r="AR21" s="3" t="s">
        <v>51</v>
      </c>
      <c r="AS21" s="3" t="s">
        <v>48</v>
      </c>
      <c r="AT21" s="3" t="s">
        <v>64</v>
      </c>
      <c r="AU21" s="2"/>
    </row>
    <row r="22" spans="1:47" x14ac:dyDescent="0.2">
      <c r="A22" s="1" t="s">
        <v>53</v>
      </c>
      <c r="B22" s="3" t="s">
        <v>54</v>
      </c>
      <c r="C22" s="3" t="s">
        <v>55</v>
      </c>
      <c r="D22" s="3" t="s">
        <v>56</v>
      </c>
      <c r="E22" s="3">
        <v>0</v>
      </c>
      <c r="F22" s="3">
        <v>0</v>
      </c>
      <c r="G22" s="3">
        <v>0</v>
      </c>
      <c r="H22" s="3" t="s">
        <v>56</v>
      </c>
      <c r="I22" s="3">
        <v>1</v>
      </c>
      <c r="J22" s="3">
        <v>1.05623320799987</v>
      </c>
      <c r="K22" s="3" t="s">
        <v>48</v>
      </c>
      <c r="L22" s="3">
        <v>0</v>
      </c>
      <c r="M22" s="3">
        <v>0</v>
      </c>
      <c r="N22" s="3">
        <v>0</v>
      </c>
      <c r="O22" s="3">
        <v>2</v>
      </c>
      <c r="P22" s="3">
        <v>2.35420108400012</v>
      </c>
      <c r="Q22" s="2"/>
      <c r="R22" s="2"/>
      <c r="S22" s="2"/>
      <c r="T22" s="2"/>
      <c r="U22" s="2"/>
      <c r="V22" s="2"/>
      <c r="W22" s="2"/>
      <c r="X22" s="2"/>
      <c r="Y22" s="3">
        <v>2.3357603340000401</v>
      </c>
      <c r="Z22" s="3">
        <v>2.35420108400012</v>
      </c>
      <c r="AA22" s="3">
        <v>2.8206946670006801</v>
      </c>
      <c r="AB22" s="3">
        <v>2.8206946670006801</v>
      </c>
      <c r="AC22" s="3">
        <v>2.8206946670006801</v>
      </c>
      <c r="AD22" s="3">
        <v>3.8895959170004102</v>
      </c>
      <c r="AE22" s="3" t="s">
        <v>56</v>
      </c>
      <c r="AF22" s="3">
        <v>1</v>
      </c>
      <c r="AG22" s="3">
        <v>1.05623320799987</v>
      </c>
      <c r="AH22" s="3" t="s">
        <v>48</v>
      </c>
      <c r="AI22" s="2"/>
      <c r="AJ22" s="2"/>
      <c r="AK22" s="2"/>
      <c r="AL22" s="2"/>
      <c r="AM22" s="3">
        <v>3</v>
      </c>
      <c r="AN22" s="3">
        <v>1</v>
      </c>
      <c r="AO22" s="3" t="s">
        <v>63</v>
      </c>
      <c r="AP22" s="3" t="s">
        <v>50</v>
      </c>
      <c r="AQ22" s="2"/>
      <c r="AR22" s="3" t="s">
        <v>51</v>
      </c>
      <c r="AS22" s="3" t="s">
        <v>48</v>
      </c>
      <c r="AT22" s="3" t="s">
        <v>64</v>
      </c>
      <c r="AU22" s="2"/>
    </row>
    <row r="23" spans="1:47" x14ac:dyDescent="0.2">
      <c r="A23" s="1" t="s">
        <v>60</v>
      </c>
      <c r="B23" s="3" t="s">
        <v>57</v>
      </c>
      <c r="C23" s="3" t="s">
        <v>55</v>
      </c>
      <c r="D23" s="3" t="s">
        <v>59</v>
      </c>
      <c r="E23" s="3">
        <v>2</v>
      </c>
      <c r="F23" s="3">
        <v>2</v>
      </c>
      <c r="G23" s="3">
        <v>0</v>
      </c>
      <c r="H23" s="3" t="s">
        <v>59</v>
      </c>
      <c r="I23" s="3">
        <v>1</v>
      </c>
      <c r="J23" s="3">
        <v>1.1460947490004401</v>
      </c>
      <c r="K23" s="3" t="s">
        <v>48</v>
      </c>
      <c r="L23" s="3">
        <v>0</v>
      </c>
      <c r="M23" s="3">
        <v>2</v>
      </c>
      <c r="N23" s="3">
        <v>2</v>
      </c>
      <c r="O23" s="3">
        <v>1</v>
      </c>
      <c r="P23" s="3">
        <v>5.4102493750005998</v>
      </c>
      <c r="Q23" s="2"/>
      <c r="R23" s="2"/>
      <c r="S23" s="2"/>
      <c r="T23" s="2"/>
      <c r="U23" s="2"/>
      <c r="V23" s="2"/>
      <c r="W23" s="2"/>
      <c r="X23" s="2"/>
      <c r="Y23" s="3">
        <v>5.3989265840000398</v>
      </c>
      <c r="Z23" s="3">
        <v>5.4102493750005998</v>
      </c>
      <c r="AA23" s="3">
        <v>5.8927081669999097</v>
      </c>
      <c r="AB23" s="3">
        <v>5.8927081669999097</v>
      </c>
      <c r="AC23" s="3">
        <v>5.8927081669999097</v>
      </c>
      <c r="AD23" s="3">
        <v>7.0448734170004199</v>
      </c>
      <c r="AE23" s="3" t="s">
        <v>59</v>
      </c>
      <c r="AF23" s="3">
        <v>1</v>
      </c>
      <c r="AG23" s="3">
        <v>1.1460947490004401</v>
      </c>
      <c r="AH23" s="3" t="s">
        <v>48</v>
      </c>
      <c r="AI23" s="2"/>
      <c r="AJ23" s="2"/>
      <c r="AK23" s="2"/>
      <c r="AL23" s="2"/>
      <c r="AM23" s="3">
        <v>3</v>
      </c>
      <c r="AN23" s="3">
        <v>1</v>
      </c>
      <c r="AO23" s="3" t="s">
        <v>63</v>
      </c>
      <c r="AP23" s="3" t="s">
        <v>50</v>
      </c>
      <c r="AQ23" s="2"/>
      <c r="AR23" s="3" t="s">
        <v>51</v>
      </c>
      <c r="AS23" s="3" t="s">
        <v>48</v>
      </c>
      <c r="AT23" s="3" t="s">
        <v>64</v>
      </c>
      <c r="AU23" s="2"/>
    </row>
    <row r="24" spans="1:47" x14ac:dyDescent="0.2">
      <c r="A24" s="1" t="s">
        <v>60</v>
      </c>
      <c r="B24" s="3" t="s">
        <v>57</v>
      </c>
      <c r="C24" s="3" t="s">
        <v>55</v>
      </c>
      <c r="D24" s="3" t="s">
        <v>59</v>
      </c>
      <c r="E24" s="3">
        <v>5</v>
      </c>
      <c r="F24" s="3">
        <v>1</v>
      </c>
      <c r="G24" s="3">
        <v>1</v>
      </c>
      <c r="H24" s="3" t="s">
        <v>59</v>
      </c>
      <c r="I24" s="3">
        <v>1</v>
      </c>
      <c r="J24" s="3">
        <v>0.92226074999962304</v>
      </c>
      <c r="K24" s="3" t="s">
        <v>48</v>
      </c>
      <c r="L24" s="3">
        <v>1</v>
      </c>
      <c r="M24" s="3">
        <v>1</v>
      </c>
      <c r="N24" s="3">
        <v>5</v>
      </c>
      <c r="O24" s="3">
        <v>1</v>
      </c>
      <c r="P24" s="3">
        <v>9.6042705840000107</v>
      </c>
      <c r="Q24" s="2"/>
      <c r="R24" s="2"/>
      <c r="S24" s="2"/>
      <c r="T24" s="2"/>
      <c r="U24" s="2"/>
      <c r="V24" s="2"/>
      <c r="W24" s="2"/>
      <c r="X24" s="2"/>
      <c r="Y24" s="3">
        <v>9.5795967089998193</v>
      </c>
      <c r="Z24" s="3">
        <v>9.6042705840000107</v>
      </c>
      <c r="AA24" s="3">
        <v>10.072712250000199</v>
      </c>
      <c r="AB24" s="3">
        <v>10.072712250000199</v>
      </c>
      <c r="AC24" s="3">
        <v>10.072712250000199</v>
      </c>
      <c r="AD24" s="3">
        <v>11.005943125000201</v>
      </c>
      <c r="AE24" s="3" t="s">
        <v>59</v>
      </c>
      <c r="AF24" s="3">
        <v>1</v>
      </c>
      <c r="AG24" s="3">
        <v>0.92226074999962304</v>
      </c>
      <c r="AH24" s="3" t="s">
        <v>48</v>
      </c>
      <c r="AI24" s="2"/>
      <c r="AJ24" s="2"/>
      <c r="AK24" s="2"/>
      <c r="AL24" s="2"/>
      <c r="AM24" s="3">
        <v>3</v>
      </c>
      <c r="AN24" s="3">
        <v>1</v>
      </c>
      <c r="AO24" s="3" t="s">
        <v>63</v>
      </c>
      <c r="AP24" s="3" t="s">
        <v>50</v>
      </c>
      <c r="AQ24" s="2"/>
      <c r="AR24" s="3" t="s">
        <v>51</v>
      </c>
      <c r="AS24" s="3" t="s">
        <v>48</v>
      </c>
      <c r="AT24" s="3" t="s">
        <v>64</v>
      </c>
      <c r="AU24" s="2"/>
    </row>
    <row r="25" spans="1:47" x14ac:dyDescent="0.2">
      <c r="A25" s="1" t="s">
        <v>53</v>
      </c>
      <c r="B25" s="3" t="s">
        <v>54</v>
      </c>
      <c r="C25" s="3" t="s">
        <v>55</v>
      </c>
      <c r="D25" s="3" t="s">
        <v>56</v>
      </c>
      <c r="E25" s="3">
        <v>7</v>
      </c>
      <c r="F25" s="3">
        <v>3</v>
      </c>
      <c r="G25" s="3">
        <v>1</v>
      </c>
      <c r="H25" s="3" t="s">
        <v>56</v>
      </c>
      <c r="I25" s="3">
        <v>1</v>
      </c>
      <c r="J25" s="3">
        <v>0.99428974900001799</v>
      </c>
      <c r="K25" s="3" t="s">
        <v>48</v>
      </c>
      <c r="L25" s="3">
        <v>1</v>
      </c>
      <c r="M25" s="3">
        <v>3</v>
      </c>
      <c r="N25" s="3">
        <v>7</v>
      </c>
      <c r="O25" s="3">
        <v>2</v>
      </c>
      <c r="P25" s="3">
        <v>12.2417484170001</v>
      </c>
      <c r="Q25" s="2"/>
      <c r="R25" s="2"/>
      <c r="S25" s="2"/>
      <c r="T25" s="2"/>
      <c r="U25" s="2"/>
      <c r="V25" s="2"/>
      <c r="W25" s="2"/>
      <c r="X25" s="2"/>
      <c r="Y25" s="3">
        <v>12.229923250000001</v>
      </c>
      <c r="Z25" s="3">
        <v>12.2417484170001</v>
      </c>
      <c r="AA25" s="3">
        <v>12.7206099169998</v>
      </c>
      <c r="AB25" s="3">
        <v>12.7206099169998</v>
      </c>
      <c r="AC25" s="3">
        <v>12.7206099169998</v>
      </c>
      <c r="AD25" s="3">
        <v>13.723035124999999</v>
      </c>
      <c r="AE25" s="3" t="s">
        <v>56</v>
      </c>
      <c r="AF25" s="3">
        <v>1</v>
      </c>
      <c r="AG25" s="3">
        <v>0.99428974900001799</v>
      </c>
      <c r="AH25" s="3" t="s">
        <v>48</v>
      </c>
      <c r="AI25" s="2"/>
      <c r="AJ25" s="2"/>
      <c r="AK25" s="2"/>
      <c r="AL25" s="2"/>
      <c r="AM25" s="3">
        <v>3</v>
      </c>
      <c r="AN25" s="3">
        <v>1</v>
      </c>
      <c r="AO25" s="3" t="s">
        <v>63</v>
      </c>
      <c r="AP25" s="3" t="s">
        <v>50</v>
      </c>
      <c r="AQ25" s="2"/>
      <c r="AR25" s="3" t="s">
        <v>51</v>
      </c>
      <c r="AS25" s="3" t="s">
        <v>48</v>
      </c>
      <c r="AT25" s="3" t="s">
        <v>64</v>
      </c>
      <c r="AU25" s="2"/>
    </row>
    <row r="26" spans="1:47" x14ac:dyDescent="0.2">
      <c r="A26" s="1" t="s">
        <v>60</v>
      </c>
      <c r="B26" s="3" t="s">
        <v>57</v>
      </c>
      <c r="C26" s="3" t="s">
        <v>55</v>
      </c>
      <c r="D26" s="3" t="s">
        <v>59</v>
      </c>
      <c r="E26" s="3">
        <v>8</v>
      </c>
      <c r="F26" s="3">
        <v>0</v>
      </c>
      <c r="G26" s="3">
        <v>2</v>
      </c>
      <c r="H26" s="3" t="s">
        <v>59</v>
      </c>
      <c r="I26" s="3">
        <v>1</v>
      </c>
      <c r="J26" s="3">
        <v>0.94688349999978505</v>
      </c>
      <c r="K26" s="3" t="s">
        <v>48</v>
      </c>
      <c r="L26" s="3">
        <v>2</v>
      </c>
      <c r="M26" s="3">
        <v>0</v>
      </c>
      <c r="N26" s="3">
        <v>8</v>
      </c>
      <c r="O26" s="3">
        <v>1</v>
      </c>
      <c r="P26" s="3">
        <v>13.737902292000401</v>
      </c>
      <c r="Q26" s="2"/>
      <c r="R26" s="2"/>
      <c r="S26" s="2"/>
      <c r="T26" s="2"/>
      <c r="U26" s="2"/>
      <c r="V26" s="2"/>
      <c r="W26" s="2"/>
      <c r="X26" s="2"/>
      <c r="Y26" s="3">
        <v>13.726779874999901</v>
      </c>
      <c r="Z26" s="3">
        <v>13.737902292000401</v>
      </c>
      <c r="AA26" s="3">
        <v>14.220183625000599</v>
      </c>
      <c r="AB26" s="3">
        <v>14.220183625000599</v>
      </c>
      <c r="AC26" s="3">
        <v>14.220183625000599</v>
      </c>
      <c r="AD26" s="3">
        <v>15.172702249999899</v>
      </c>
      <c r="AE26" s="3" t="s">
        <v>59</v>
      </c>
      <c r="AF26" s="3">
        <v>1</v>
      </c>
      <c r="AG26" s="3">
        <v>0.94688349999978505</v>
      </c>
      <c r="AH26" s="3" t="s">
        <v>48</v>
      </c>
      <c r="AI26" s="2"/>
      <c r="AJ26" s="2"/>
      <c r="AK26" s="2"/>
      <c r="AL26" s="2"/>
      <c r="AM26" s="3">
        <v>3</v>
      </c>
      <c r="AN26" s="3">
        <v>1</v>
      </c>
      <c r="AO26" s="3" t="s">
        <v>63</v>
      </c>
      <c r="AP26" s="3" t="s">
        <v>50</v>
      </c>
      <c r="AQ26" s="2"/>
      <c r="AR26" s="3" t="s">
        <v>51</v>
      </c>
      <c r="AS26" s="3" t="s">
        <v>48</v>
      </c>
      <c r="AT26" s="3" t="s">
        <v>64</v>
      </c>
      <c r="AU26" s="2"/>
    </row>
    <row r="27" spans="1:47" x14ac:dyDescent="0.2">
      <c r="A27" s="1" t="s">
        <v>53</v>
      </c>
      <c r="B27" s="3" t="s">
        <v>54</v>
      </c>
      <c r="C27" s="3" t="s">
        <v>55</v>
      </c>
      <c r="D27" s="3" t="s">
        <v>56</v>
      </c>
      <c r="E27" s="3">
        <v>10</v>
      </c>
      <c r="F27" s="3">
        <v>2</v>
      </c>
      <c r="G27" s="3">
        <v>2</v>
      </c>
      <c r="H27" s="3" t="s">
        <v>56</v>
      </c>
      <c r="I27" s="3">
        <v>1</v>
      </c>
      <c r="J27" s="3">
        <v>0.86745783299920698</v>
      </c>
      <c r="K27" s="3" t="s">
        <v>48</v>
      </c>
      <c r="L27" s="3">
        <v>2</v>
      </c>
      <c r="M27" s="3">
        <v>2</v>
      </c>
      <c r="N27" s="3">
        <v>10</v>
      </c>
      <c r="O27" s="3">
        <v>2</v>
      </c>
      <c r="P27" s="3">
        <v>16.708919874999999</v>
      </c>
      <c r="Q27" s="2"/>
      <c r="R27" s="2"/>
      <c r="S27" s="2"/>
      <c r="T27" s="2"/>
      <c r="U27" s="2"/>
      <c r="V27" s="2"/>
      <c r="W27" s="2"/>
      <c r="X27" s="2"/>
      <c r="Y27" s="3">
        <v>16.696766</v>
      </c>
      <c r="Z27" s="3">
        <v>16.708919874999999</v>
      </c>
      <c r="AA27" s="3">
        <v>17.187454667000601</v>
      </c>
      <c r="AB27" s="3">
        <v>17.187454667000601</v>
      </c>
      <c r="AC27" s="3">
        <v>17.187454667000601</v>
      </c>
      <c r="AD27" s="3">
        <v>18.061901417000598</v>
      </c>
      <c r="AE27" s="3" t="s">
        <v>56</v>
      </c>
      <c r="AF27" s="3">
        <v>1</v>
      </c>
      <c r="AG27" s="3">
        <v>0.86745783299920698</v>
      </c>
      <c r="AH27" s="3" t="s">
        <v>48</v>
      </c>
      <c r="AI27" s="2"/>
      <c r="AJ27" s="2"/>
      <c r="AK27" s="2"/>
      <c r="AL27" s="2"/>
      <c r="AM27" s="3">
        <v>3</v>
      </c>
      <c r="AN27" s="3">
        <v>1</v>
      </c>
      <c r="AO27" s="3" t="s">
        <v>63</v>
      </c>
      <c r="AP27" s="3" t="s">
        <v>50</v>
      </c>
      <c r="AQ27" s="2"/>
      <c r="AR27" s="3" t="s">
        <v>51</v>
      </c>
      <c r="AS27" s="3" t="s">
        <v>48</v>
      </c>
      <c r="AT27" s="3" t="s">
        <v>64</v>
      </c>
      <c r="AU27" s="2"/>
    </row>
    <row r="28" spans="1:47" x14ac:dyDescent="0.2">
      <c r="A28" s="1" t="s">
        <v>60</v>
      </c>
      <c r="B28" s="3" t="s">
        <v>57</v>
      </c>
      <c r="C28" s="3" t="s">
        <v>55</v>
      </c>
      <c r="D28" s="3" t="s">
        <v>59</v>
      </c>
      <c r="E28" s="3">
        <v>14</v>
      </c>
      <c r="F28" s="3">
        <v>2</v>
      </c>
      <c r="G28" s="3">
        <v>3</v>
      </c>
      <c r="H28" s="3" t="s">
        <v>59</v>
      </c>
      <c r="I28" s="3">
        <v>1</v>
      </c>
      <c r="J28" s="3">
        <v>1.37548004100063</v>
      </c>
      <c r="K28" s="3" t="s">
        <v>48</v>
      </c>
      <c r="L28" s="3">
        <v>3</v>
      </c>
      <c r="M28" s="3">
        <v>2</v>
      </c>
      <c r="N28" s="3">
        <v>14</v>
      </c>
      <c r="O28" s="3">
        <v>1</v>
      </c>
      <c r="P28" s="3">
        <v>21.809459625000301</v>
      </c>
      <c r="Q28" s="2"/>
      <c r="R28" s="2"/>
      <c r="S28" s="2"/>
      <c r="T28" s="2"/>
      <c r="U28" s="2"/>
      <c r="V28" s="2"/>
      <c r="W28" s="2"/>
      <c r="X28" s="2"/>
      <c r="Y28" s="3">
        <v>21.797108084000701</v>
      </c>
      <c r="Z28" s="3">
        <v>21.809459625000301</v>
      </c>
      <c r="AA28" s="3">
        <v>22.2874379590003</v>
      </c>
      <c r="AB28" s="3">
        <v>22.2874379590003</v>
      </c>
      <c r="AC28" s="3">
        <v>22.2874379590003</v>
      </c>
      <c r="AD28" s="3">
        <v>23.673251875000499</v>
      </c>
      <c r="AE28" s="3" t="s">
        <v>59</v>
      </c>
      <c r="AF28" s="3">
        <v>1</v>
      </c>
      <c r="AG28" s="3">
        <v>1.37548004100063</v>
      </c>
      <c r="AH28" s="3" t="s">
        <v>48</v>
      </c>
      <c r="AI28" s="2"/>
      <c r="AJ28" s="2"/>
      <c r="AK28" s="2"/>
      <c r="AL28" s="2"/>
      <c r="AM28" s="3">
        <v>3</v>
      </c>
      <c r="AN28" s="3">
        <v>1</v>
      </c>
      <c r="AO28" s="3" t="s">
        <v>63</v>
      </c>
      <c r="AP28" s="3" t="s">
        <v>50</v>
      </c>
      <c r="AQ28" s="2"/>
      <c r="AR28" s="3" t="s">
        <v>51</v>
      </c>
      <c r="AS28" s="3" t="s">
        <v>48</v>
      </c>
      <c r="AT28" s="3" t="s">
        <v>64</v>
      </c>
      <c r="AU28" s="2"/>
    </row>
    <row r="29" spans="1:47" x14ac:dyDescent="0.2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/>
      <c r="R29" s="2"/>
      <c r="S29" s="2"/>
      <c r="T29" s="2"/>
      <c r="U29" s="2"/>
      <c r="V29" s="2"/>
      <c r="W29" s="2"/>
      <c r="X29" s="2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2"/>
      <c r="AJ29" s="2"/>
      <c r="AK29" s="2"/>
      <c r="AL29" s="2"/>
      <c r="AM29" s="3"/>
      <c r="AN29" s="3"/>
      <c r="AO29" s="3"/>
      <c r="AP29" s="3"/>
      <c r="AQ29" s="2"/>
      <c r="AR29" s="3"/>
      <c r="AS29" s="3"/>
      <c r="AT29" s="3"/>
      <c r="AU29" s="2"/>
    </row>
    <row r="30" spans="1:47" x14ac:dyDescent="0.2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/>
      <c r="R30" s="2"/>
      <c r="S30" s="2"/>
      <c r="T30" s="2"/>
      <c r="U30" s="2"/>
      <c r="V30" s="2"/>
      <c r="W30" s="2"/>
      <c r="X30" s="2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2"/>
      <c r="AJ30" s="2"/>
      <c r="AK30" s="2"/>
      <c r="AL30" s="2"/>
      <c r="AM30" s="3"/>
      <c r="AN30" s="3"/>
      <c r="AO30" s="3"/>
      <c r="AP30" s="3"/>
      <c r="AQ30" s="2"/>
      <c r="AR30" s="3"/>
      <c r="AS30" s="3"/>
      <c r="AT30" s="3"/>
      <c r="AU30" s="2"/>
    </row>
    <row r="31" spans="1:47" x14ac:dyDescent="0.2">
      <c r="A31" s="1" t="s">
        <v>60</v>
      </c>
      <c r="B31" s="3" t="s">
        <v>57</v>
      </c>
      <c r="C31" s="3" t="s">
        <v>55</v>
      </c>
      <c r="D31" s="3" t="s">
        <v>59</v>
      </c>
      <c r="E31" s="3">
        <v>18</v>
      </c>
      <c r="F31" s="3">
        <v>2</v>
      </c>
      <c r="G31" s="3">
        <v>4</v>
      </c>
      <c r="H31" s="3" t="s">
        <v>59</v>
      </c>
      <c r="I31" s="3">
        <v>1</v>
      </c>
      <c r="J31" s="3">
        <v>1.62817774900032</v>
      </c>
      <c r="K31" s="3" t="s">
        <v>48</v>
      </c>
      <c r="L31" s="3">
        <v>4</v>
      </c>
      <c r="M31" s="3">
        <v>2</v>
      </c>
      <c r="N31" s="3">
        <v>18</v>
      </c>
      <c r="O31" s="3">
        <v>1</v>
      </c>
      <c r="P31" s="3">
        <v>28.239959874999801</v>
      </c>
      <c r="Q31" s="2"/>
      <c r="R31" s="2"/>
      <c r="S31" s="2"/>
      <c r="T31" s="2"/>
      <c r="U31" s="2"/>
      <c r="V31" s="2"/>
      <c r="W31" s="2"/>
      <c r="X31" s="2"/>
      <c r="Y31" s="3">
        <v>28.228311459</v>
      </c>
      <c r="Z31" s="3">
        <v>28.239959874999801</v>
      </c>
      <c r="AA31" s="3">
        <v>28.720895041999899</v>
      </c>
      <c r="AB31" s="3">
        <v>28.720895041999899</v>
      </c>
      <c r="AC31" s="3">
        <v>28.720895041999899</v>
      </c>
      <c r="AD31" s="3">
        <v>30.3567567090004</v>
      </c>
      <c r="AE31" s="3" t="s">
        <v>59</v>
      </c>
      <c r="AF31" s="3">
        <v>1</v>
      </c>
      <c r="AG31" s="3">
        <v>1.62817774900032</v>
      </c>
      <c r="AH31" s="3" t="s">
        <v>48</v>
      </c>
      <c r="AI31" s="2"/>
      <c r="AJ31" s="2"/>
      <c r="AK31" s="2"/>
      <c r="AL31" s="2"/>
      <c r="AM31" s="3">
        <v>3</v>
      </c>
      <c r="AN31" s="3">
        <v>1</v>
      </c>
      <c r="AO31" s="3" t="s">
        <v>63</v>
      </c>
      <c r="AP31" s="3" t="s">
        <v>50</v>
      </c>
      <c r="AQ31" s="2"/>
      <c r="AR31" s="3" t="s">
        <v>51</v>
      </c>
      <c r="AS31" s="3" t="s">
        <v>48</v>
      </c>
      <c r="AT31" s="3" t="s">
        <v>64</v>
      </c>
      <c r="AU31" s="2"/>
    </row>
    <row r="32" spans="1:47" x14ac:dyDescent="0.2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2"/>
      <c r="R32" s="2"/>
      <c r="S32" s="2"/>
      <c r="T32" s="2"/>
      <c r="U32" s="2"/>
      <c r="V32" s="2"/>
      <c r="W32" s="2"/>
      <c r="X32" s="2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2"/>
      <c r="AJ32" s="2"/>
      <c r="AK32" s="2"/>
      <c r="AL32" s="2"/>
      <c r="AM32" s="3"/>
      <c r="AN32" s="3"/>
      <c r="AO32" s="3"/>
      <c r="AP32" s="3"/>
      <c r="AQ32" s="2"/>
      <c r="AR32" s="3"/>
      <c r="AS32" s="3"/>
      <c r="AT32" s="3"/>
      <c r="AU32" s="2"/>
    </row>
    <row r="33" spans="1:47" x14ac:dyDescent="0.2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2"/>
      <c r="R33" s="2"/>
      <c r="S33" s="2"/>
      <c r="T33" s="2"/>
      <c r="U33" s="2"/>
      <c r="V33" s="2"/>
      <c r="W33" s="2"/>
      <c r="X33" s="2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2"/>
      <c r="AJ33" s="2"/>
      <c r="AK33" s="2"/>
      <c r="AL33" s="2"/>
      <c r="AM33" s="3"/>
      <c r="AN33" s="3"/>
      <c r="AO33" s="3"/>
      <c r="AP33" s="3"/>
      <c r="AQ33" s="2"/>
      <c r="AR33" s="3"/>
      <c r="AS33" s="3"/>
      <c r="AT33" s="3"/>
      <c r="AU33" s="2"/>
    </row>
    <row r="34" spans="1:47" x14ac:dyDescent="0.2">
      <c r="A34" s="1" t="s">
        <v>60</v>
      </c>
      <c r="B34" s="3" t="s">
        <v>57</v>
      </c>
      <c r="C34" s="3" t="s">
        <v>55</v>
      </c>
      <c r="D34" s="3" t="s">
        <v>59</v>
      </c>
      <c r="E34" s="3">
        <v>25</v>
      </c>
      <c r="F34" s="3">
        <v>1</v>
      </c>
      <c r="G34" s="3">
        <v>6</v>
      </c>
      <c r="H34" s="3" t="s">
        <v>59</v>
      </c>
      <c r="I34" s="3">
        <v>1</v>
      </c>
      <c r="J34" s="3">
        <v>1.1994750410003701</v>
      </c>
      <c r="K34" s="3" t="s">
        <v>48</v>
      </c>
      <c r="L34" s="3">
        <v>6</v>
      </c>
      <c r="M34" s="3">
        <v>1</v>
      </c>
      <c r="N34" s="3">
        <v>25</v>
      </c>
      <c r="O34" s="3">
        <v>1</v>
      </c>
      <c r="P34" s="3">
        <v>39.753805959000601</v>
      </c>
      <c r="Q34" s="2"/>
      <c r="R34" s="2"/>
      <c r="S34" s="2"/>
      <c r="T34" s="2"/>
      <c r="U34" s="2"/>
      <c r="V34" s="2"/>
      <c r="W34" s="2"/>
      <c r="X34" s="2"/>
      <c r="Y34" s="3">
        <v>39.740857249999898</v>
      </c>
      <c r="Z34" s="3">
        <v>39.753805959000601</v>
      </c>
      <c r="AA34" s="3">
        <v>40.2375159170006</v>
      </c>
      <c r="AB34" s="3">
        <v>40.2375159170006</v>
      </c>
      <c r="AC34" s="3">
        <v>40.2375159170006</v>
      </c>
      <c r="AD34" s="3">
        <v>41.4398752500001</v>
      </c>
      <c r="AE34" s="3" t="s">
        <v>59</v>
      </c>
      <c r="AF34" s="3">
        <v>1</v>
      </c>
      <c r="AG34" s="3">
        <v>1.1994750410003701</v>
      </c>
      <c r="AH34" s="3" t="s">
        <v>48</v>
      </c>
      <c r="AI34" s="2"/>
      <c r="AJ34" s="2"/>
      <c r="AK34" s="2"/>
      <c r="AL34" s="2"/>
      <c r="AM34" s="3">
        <v>3</v>
      </c>
      <c r="AN34" s="3">
        <v>1</v>
      </c>
      <c r="AO34" s="3" t="s">
        <v>63</v>
      </c>
      <c r="AP34" s="3" t="s">
        <v>50</v>
      </c>
      <c r="AQ34" s="2"/>
      <c r="AR34" s="3" t="s">
        <v>51</v>
      </c>
      <c r="AS34" s="3" t="s">
        <v>48</v>
      </c>
      <c r="AT34" s="3" t="s">
        <v>64</v>
      </c>
      <c r="AU34" s="2"/>
    </row>
    <row r="35" spans="1:47" x14ac:dyDescent="0.2">
      <c r="A35" s="1" t="s">
        <v>53</v>
      </c>
      <c r="B35" s="3" t="s">
        <v>54</v>
      </c>
      <c r="C35" s="3" t="s">
        <v>55</v>
      </c>
      <c r="D35" s="3" t="s">
        <v>56</v>
      </c>
      <c r="E35" s="3">
        <v>26</v>
      </c>
      <c r="F35" s="3">
        <v>2</v>
      </c>
      <c r="G35" s="3">
        <v>6</v>
      </c>
      <c r="H35" s="3" t="s">
        <v>56</v>
      </c>
      <c r="I35" s="3">
        <v>1</v>
      </c>
      <c r="J35" s="3">
        <v>1.00662941599967</v>
      </c>
      <c r="K35" s="3" t="s">
        <v>48</v>
      </c>
      <c r="L35" s="3">
        <v>6</v>
      </c>
      <c r="M35" s="3">
        <v>2</v>
      </c>
      <c r="N35" s="3">
        <v>26</v>
      </c>
      <c r="O35" s="3">
        <v>2</v>
      </c>
      <c r="P35" s="3">
        <v>41.456165042000102</v>
      </c>
      <c r="Q35" s="2"/>
      <c r="R35" s="2"/>
      <c r="S35" s="2"/>
      <c r="T35" s="2"/>
      <c r="U35" s="2"/>
      <c r="V35" s="2"/>
      <c r="W35" s="2"/>
      <c r="X35" s="2"/>
      <c r="Y35" s="3">
        <v>41.444737208999904</v>
      </c>
      <c r="Z35" s="3">
        <v>41.456165042000102</v>
      </c>
      <c r="AA35" s="3">
        <v>41.937508667000699</v>
      </c>
      <c r="AB35" s="3">
        <v>41.937508667000699</v>
      </c>
      <c r="AC35" s="3">
        <v>41.937508667000699</v>
      </c>
      <c r="AD35" s="3">
        <v>42.946636583999897</v>
      </c>
      <c r="AE35" s="3" t="s">
        <v>56</v>
      </c>
      <c r="AF35" s="3">
        <v>1</v>
      </c>
      <c r="AG35" s="3">
        <v>1.00662941599967</v>
      </c>
      <c r="AH35" s="3" t="s">
        <v>48</v>
      </c>
      <c r="AI35" s="2"/>
      <c r="AJ35" s="2"/>
      <c r="AK35" s="2"/>
      <c r="AL35" s="2"/>
      <c r="AM35" s="3">
        <v>3</v>
      </c>
      <c r="AN35" s="3">
        <v>1</v>
      </c>
      <c r="AO35" s="3" t="s">
        <v>63</v>
      </c>
      <c r="AP35" s="3" t="s">
        <v>50</v>
      </c>
      <c r="AQ35" s="2"/>
      <c r="AR35" s="3" t="s">
        <v>51</v>
      </c>
      <c r="AS35" s="3" t="s">
        <v>48</v>
      </c>
      <c r="AT35" s="3" t="s">
        <v>64</v>
      </c>
      <c r="AU35" s="2"/>
    </row>
    <row r="36" spans="1:47" x14ac:dyDescent="0.2">
      <c r="A36" s="1" t="s">
        <v>53</v>
      </c>
      <c r="B36" s="3" t="s">
        <v>54</v>
      </c>
      <c r="C36" s="3" t="s">
        <v>55</v>
      </c>
      <c r="D36" s="3" t="s">
        <v>56</v>
      </c>
      <c r="E36" s="3">
        <v>28</v>
      </c>
      <c r="F36" s="3">
        <v>0</v>
      </c>
      <c r="G36" s="3">
        <v>7</v>
      </c>
      <c r="H36" s="3" t="s">
        <v>56</v>
      </c>
      <c r="I36" s="3">
        <v>1</v>
      </c>
      <c r="J36" s="3">
        <v>0.94468583300022202</v>
      </c>
      <c r="K36" s="3" t="s">
        <v>48</v>
      </c>
      <c r="L36" s="3">
        <v>7</v>
      </c>
      <c r="M36" s="3">
        <v>0</v>
      </c>
      <c r="N36" s="3">
        <v>28</v>
      </c>
      <c r="O36" s="3">
        <v>2</v>
      </c>
      <c r="P36" s="3">
        <v>44.285494749999998</v>
      </c>
      <c r="Q36" s="2"/>
      <c r="R36" s="2"/>
      <c r="S36" s="2"/>
      <c r="T36" s="2"/>
      <c r="U36" s="2"/>
      <c r="V36" s="2"/>
      <c r="W36" s="2"/>
      <c r="X36" s="2"/>
      <c r="Y36" s="3">
        <v>44.2743462090002</v>
      </c>
      <c r="Z36" s="3">
        <v>44.285494749999998</v>
      </c>
      <c r="AA36" s="3">
        <v>44.771432874999803</v>
      </c>
      <c r="AB36" s="3">
        <v>44.771432874999803</v>
      </c>
      <c r="AC36" s="3">
        <v>44.771432874999803</v>
      </c>
      <c r="AD36" s="3">
        <v>45.723607709000099</v>
      </c>
      <c r="AE36" s="3" t="s">
        <v>56</v>
      </c>
      <c r="AF36" s="3">
        <v>1</v>
      </c>
      <c r="AG36" s="3">
        <v>0.94468583300022202</v>
      </c>
      <c r="AH36" s="3" t="s">
        <v>48</v>
      </c>
      <c r="AI36" s="2"/>
      <c r="AJ36" s="2"/>
      <c r="AK36" s="2"/>
      <c r="AL36" s="2"/>
      <c r="AM36" s="3">
        <v>3</v>
      </c>
      <c r="AN36" s="3">
        <v>1</v>
      </c>
      <c r="AO36" s="3" t="s">
        <v>63</v>
      </c>
      <c r="AP36" s="3" t="s">
        <v>50</v>
      </c>
      <c r="AQ36" s="2"/>
      <c r="AR36" s="3" t="s">
        <v>51</v>
      </c>
      <c r="AS36" s="3" t="s">
        <v>48</v>
      </c>
      <c r="AT36" s="3" t="s">
        <v>64</v>
      </c>
      <c r="AU36" s="2"/>
    </row>
    <row r="37" spans="1:47" x14ac:dyDescent="0.2">
      <c r="A37" s="1" t="s">
        <v>60</v>
      </c>
      <c r="B37" s="3" t="s">
        <v>57</v>
      </c>
      <c r="C37" s="3" t="s">
        <v>55</v>
      </c>
      <c r="D37" s="3" t="s">
        <v>59</v>
      </c>
      <c r="E37" s="3">
        <v>29</v>
      </c>
      <c r="F37" s="3">
        <v>1</v>
      </c>
      <c r="G37" s="3">
        <v>7</v>
      </c>
      <c r="H37" s="3" t="s">
        <v>59</v>
      </c>
      <c r="I37" s="3">
        <v>1</v>
      </c>
      <c r="J37" s="3">
        <v>0.98089195800002904</v>
      </c>
      <c r="K37" s="3" t="s">
        <v>48</v>
      </c>
      <c r="L37" s="3">
        <v>7</v>
      </c>
      <c r="M37" s="3">
        <v>1</v>
      </c>
      <c r="N37" s="3">
        <v>29</v>
      </c>
      <c r="O37" s="3">
        <v>1</v>
      </c>
      <c r="P37" s="3">
        <v>45.7386552090002</v>
      </c>
      <c r="Q37" s="2"/>
      <c r="R37" s="2"/>
      <c r="S37" s="2"/>
      <c r="T37" s="2"/>
      <c r="U37" s="2"/>
      <c r="V37" s="2"/>
      <c r="W37" s="2"/>
      <c r="X37" s="2"/>
      <c r="Y37" s="3">
        <v>45.727183750000201</v>
      </c>
      <c r="Z37" s="3">
        <v>45.7386552090002</v>
      </c>
      <c r="AA37" s="3">
        <v>46.221291208999901</v>
      </c>
      <c r="AB37" s="3">
        <v>46.221291208999901</v>
      </c>
      <c r="AC37" s="3">
        <v>46.221291208999901</v>
      </c>
      <c r="AD37" s="3">
        <v>47.206666250000097</v>
      </c>
      <c r="AE37" s="3" t="s">
        <v>59</v>
      </c>
      <c r="AF37" s="3">
        <v>1</v>
      </c>
      <c r="AG37" s="3">
        <v>0.98089195800002904</v>
      </c>
      <c r="AH37" s="3" t="s">
        <v>48</v>
      </c>
      <c r="AI37" s="2"/>
      <c r="AJ37" s="2"/>
      <c r="AK37" s="2"/>
      <c r="AL37" s="2"/>
      <c r="AM37" s="3">
        <v>3</v>
      </c>
      <c r="AN37" s="3">
        <v>1</v>
      </c>
      <c r="AO37" s="3" t="s">
        <v>63</v>
      </c>
      <c r="AP37" s="3" t="s">
        <v>50</v>
      </c>
      <c r="AQ37" s="2"/>
      <c r="AR37" s="3" t="s">
        <v>51</v>
      </c>
      <c r="AS37" s="3" t="s">
        <v>48</v>
      </c>
      <c r="AT37" s="3" t="s">
        <v>64</v>
      </c>
      <c r="AU37" s="2"/>
    </row>
    <row r="38" spans="1:47" x14ac:dyDescent="0.2">
      <c r="A38" s="1" t="s">
        <v>60</v>
      </c>
      <c r="B38" s="3" t="s">
        <v>57</v>
      </c>
      <c r="C38" s="3" t="s">
        <v>55</v>
      </c>
      <c r="D38" s="3" t="s">
        <v>59</v>
      </c>
      <c r="E38" s="3">
        <v>32</v>
      </c>
      <c r="F38" s="3">
        <v>0</v>
      </c>
      <c r="G38" s="3">
        <v>8</v>
      </c>
      <c r="H38" s="3" t="s">
        <v>59</v>
      </c>
      <c r="I38" s="3">
        <v>1</v>
      </c>
      <c r="J38" s="3">
        <v>1.1583031669997601</v>
      </c>
      <c r="K38" s="3" t="s">
        <v>48</v>
      </c>
      <c r="L38" s="3">
        <v>8</v>
      </c>
      <c r="M38" s="3">
        <v>0</v>
      </c>
      <c r="N38" s="3">
        <v>32</v>
      </c>
      <c r="O38" s="3">
        <v>1</v>
      </c>
      <c r="P38" s="3">
        <v>49.769496334000003</v>
      </c>
      <c r="Q38" s="2"/>
      <c r="R38" s="2"/>
      <c r="S38" s="2"/>
      <c r="T38" s="2"/>
      <c r="U38" s="2"/>
      <c r="V38" s="2"/>
      <c r="W38" s="2"/>
      <c r="X38" s="2"/>
      <c r="Y38" s="3">
        <v>49.757632083999901</v>
      </c>
      <c r="Z38" s="3">
        <v>49.769496334000003</v>
      </c>
      <c r="AA38" s="3">
        <v>50.253677708999902</v>
      </c>
      <c r="AB38" s="3">
        <v>50.253677708999902</v>
      </c>
      <c r="AC38" s="3">
        <v>50.253677708999902</v>
      </c>
      <c r="AD38" s="3">
        <v>51.423647708999901</v>
      </c>
      <c r="AE38" s="3" t="s">
        <v>59</v>
      </c>
      <c r="AF38" s="3">
        <v>1</v>
      </c>
      <c r="AG38" s="3">
        <v>1.1583031669997601</v>
      </c>
      <c r="AH38" s="3" t="s">
        <v>48</v>
      </c>
      <c r="AI38" s="2"/>
      <c r="AJ38" s="2"/>
      <c r="AK38" s="2"/>
      <c r="AL38" s="2"/>
      <c r="AM38" s="3">
        <v>3</v>
      </c>
      <c r="AN38" s="3">
        <v>1</v>
      </c>
      <c r="AO38" s="3" t="s">
        <v>63</v>
      </c>
      <c r="AP38" s="3" t="s">
        <v>50</v>
      </c>
      <c r="AQ38" s="2"/>
      <c r="AR38" s="3" t="s">
        <v>51</v>
      </c>
      <c r="AS38" s="3" t="s">
        <v>48</v>
      </c>
      <c r="AT38" s="3" t="s">
        <v>64</v>
      </c>
      <c r="AU38" s="2"/>
    </row>
    <row r="39" spans="1:47" x14ac:dyDescent="0.2">
      <c r="A39" s="1" t="s">
        <v>53</v>
      </c>
      <c r="B39" s="3" t="s">
        <v>54</v>
      </c>
      <c r="C39" s="3" t="s">
        <v>55</v>
      </c>
      <c r="D39" s="3" t="s">
        <v>56</v>
      </c>
      <c r="E39" s="3">
        <v>33</v>
      </c>
      <c r="F39" s="3">
        <v>1</v>
      </c>
      <c r="G39" s="3">
        <v>8</v>
      </c>
      <c r="H39" s="3" t="s">
        <v>56</v>
      </c>
      <c r="I39" s="3">
        <v>1</v>
      </c>
      <c r="J39" s="3">
        <v>0.81518479099940999</v>
      </c>
      <c r="K39" s="3" t="s">
        <v>48</v>
      </c>
      <c r="L39" s="3">
        <v>8</v>
      </c>
      <c r="M39" s="3">
        <v>1</v>
      </c>
      <c r="N39" s="3">
        <v>33</v>
      </c>
      <c r="O39" s="3">
        <v>2</v>
      </c>
      <c r="P39" s="3">
        <v>51.441374791999799</v>
      </c>
      <c r="Q39" s="2"/>
      <c r="R39" s="2"/>
      <c r="S39" s="2"/>
      <c r="T39" s="2"/>
      <c r="U39" s="2"/>
      <c r="V39" s="2"/>
      <c r="W39" s="2"/>
      <c r="X39" s="2"/>
      <c r="Y39" s="3">
        <v>51.429260792000598</v>
      </c>
      <c r="Z39" s="3">
        <v>51.441374791999799</v>
      </c>
      <c r="AA39" s="3">
        <v>51.921103167000197</v>
      </c>
      <c r="AB39" s="3">
        <v>51.921103167000197</v>
      </c>
      <c r="AC39" s="3">
        <v>51.921103167000197</v>
      </c>
      <c r="AD39" s="3">
        <v>52.740216584000301</v>
      </c>
      <c r="AE39" s="3" t="s">
        <v>56</v>
      </c>
      <c r="AF39" s="3">
        <v>1</v>
      </c>
      <c r="AG39" s="3">
        <v>0.81518479099940999</v>
      </c>
      <c r="AH39" s="3" t="s">
        <v>48</v>
      </c>
      <c r="AI39" s="2"/>
      <c r="AJ39" s="2"/>
      <c r="AK39" s="2"/>
      <c r="AL39" s="2"/>
      <c r="AM39" s="3">
        <v>3</v>
      </c>
      <c r="AN39" s="3">
        <v>1</v>
      </c>
      <c r="AO39" s="3" t="s">
        <v>63</v>
      </c>
      <c r="AP39" s="3" t="s">
        <v>50</v>
      </c>
      <c r="AQ39" s="2"/>
      <c r="AR39" s="3" t="s">
        <v>51</v>
      </c>
      <c r="AS39" s="3" t="s">
        <v>48</v>
      </c>
      <c r="AT39" s="3" t="s">
        <v>64</v>
      </c>
      <c r="AU39" s="2"/>
    </row>
    <row r="40" spans="1:47" x14ac:dyDescent="0.2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2"/>
      <c r="R40" s="2"/>
      <c r="S40" s="2"/>
      <c r="T40" s="2"/>
      <c r="U40" s="2"/>
      <c r="V40" s="2"/>
      <c r="W40" s="2"/>
      <c r="X40" s="2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2"/>
      <c r="AJ40" s="2"/>
      <c r="AK40" s="2"/>
      <c r="AL40" s="2"/>
      <c r="AM40" s="3"/>
      <c r="AN40" s="3"/>
      <c r="AO40" s="3"/>
      <c r="AP40" s="3"/>
      <c r="AQ40" s="2"/>
      <c r="AR40" s="3"/>
      <c r="AS40" s="3"/>
      <c r="AT40" s="3"/>
      <c r="AU40" s="2"/>
    </row>
    <row r="41" spans="1:47" x14ac:dyDescent="0.2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2"/>
      <c r="R41" s="2"/>
      <c r="S41" s="2"/>
      <c r="T41" s="2"/>
      <c r="U41" s="2"/>
      <c r="V41" s="2"/>
      <c r="W41" s="2"/>
      <c r="X41" s="2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2"/>
      <c r="AJ41" s="2"/>
      <c r="AK41" s="2"/>
      <c r="AL41" s="2"/>
      <c r="AM41" s="3"/>
      <c r="AN41" s="3"/>
      <c r="AO41" s="3"/>
      <c r="AP41" s="3"/>
      <c r="AQ41" s="2"/>
      <c r="AR41" s="3"/>
      <c r="AS41" s="3"/>
      <c r="AT41" s="3"/>
      <c r="AU41" s="2"/>
    </row>
    <row r="42" spans="1:47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>
        <v>8.2142920000478608E-3</v>
      </c>
      <c r="S42" s="3">
        <v>1.5782084000420599E-2</v>
      </c>
      <c r="T42" s="3">
        <v>1.5782084000420599E-2</v>
      </c>
      <c r="U42" s="3">
        <v>2.32561908400021</v>
      </c>
      <c r="V42" s="3" t="s">
        <v>47</v>
      </c>
      <c r="W42" s="3">
        <v>2.0781788750000501</v>
      </c>
      <c r="X42" s="3" t="s">
        <v>48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3">
        <v>3</v>
      </c>
      <c r="AN42" s="3">
        <v>1</v>
      </c>
      <c r="AO42" s="3" t="s">
        <v>63</v>
      </c>
      <c r="AP42" s="3" t="s">
        <v>50</v>
      </c>
      <c r="AQ42" s="2"/>
      <c r="AR42" s="3" t="s">
        <v>51</v>
      </c>
      <c r="AS42" s="3" t="s">
        <v>48</v>
      </c>
      <c r="AT42" s="3" t="s">
        <v>64</v>
      </c>
      <c r="AU42" s="2"/>
    </row>
    <row r="43" spans="1:47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3">
        <v>61.247327750000302</v>
      </c>
      <c r="AJ43" s="3">
        <v>61.258529333999803</v>
      </c>
      <c r="AK43" s="3">
        <v>62.2437710000004</v>
      </c>
      <c r="AL43" s="3">
        <v>62.239056667000099</v>
      </c>
      <c r="AM43" s="3">
        <v>3</v>
      </c>
      <c r="AN43" s="3">
        <v>1</v>
      </c>
      <c r="AO43" s="3" t="s">
        <v>63</v>
      </c>
      <c r="AP43" s="3" t="s">
        <v>50</v>
      </c>
      <c r="AQ43" s="2"/>
      <c r="AR43" s="3" t="s">
        <v>51</v>
      </c>
      <c r="AS43" s="3" t="s">
        <v>48</v>
      </c>
      <c r="AT43" s="3" t="s">
        <v>64</v>
      </c>
      <c r="AU43" s="2"/>
    </row>
    <row r="46" spans="1:47" x14ac:dyDescent="0.2">
      <c r="AE46">
        <f>AVERAGE(AG2:AG21)</f>
        <v>0.92142115011104886</v>
      </c>
    </row>
    <row r="47" spans="1:47" x14ac:dyDescent="0.2">
      <c r="AE47">
        <f>AVERAGE(AG22:AG41)</f>
        <v>1.0744319846428112</v>
      </c>
    </row>
    <row r="53" spans="31:31" x14ac:dyDescent="0.2">
      <c r="AE53">
        <v>0.92142115000000002</v>
      </c>
    </row>
    <row r="54" spans="31:31" x14ac:dyDescent="0.2">
      <c r="AE54">
        <v>1.07443198</v>
      </c>
    </row>
  </sheetData>
  <autoFilter ref="A1:AU1" xr:uid="{49F471B5-CF83-1941-A54B-7626E4EE7A3D}">
    <sortState xmlns:xlrd2="http://schemas.microsoft.com/office/spreadsheetml/2017/richdata2" ref="A2:AU43">
      <sortCondition ref="C1:C4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F24A-18E8-0C47-9F92-8831FBA5B821}">
  <dimension ref="A1:AV50"/>
  <sheetViews>
    <sheetView topLeftCell="AA24" workbookViewId="0">
      <selection activeCell="AI50" sqref="AI50"/>
    </sheetView>
  </sheetViews>
  <sheetFormatPr baseColWidth="10" defaultRowHeight="16" x14ac:dyDescent="0.2"/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34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/>
    </row>
    <row r="2" spans="1:48" x14ac:dyDescent="0.2">
      <c r="A2" s="1" t="s">
        <v>60</v>
      </c>
      <c r="B2" s="3" t="s">
        <v>54</v>
      </c>
      <c r="C2" s="3" t="s">
        <v>58</v>
      </c>
      <c r="D2" s="3" t="s">
        <v>56</v>
      </c>
      <c r="E2" s="3">
        <v>0</v>
      </c>
      <c r="F2" s="3">
        <v>0</v>
      </c>
      <c r="G2" s="3">
        <v>0</v>
      </c>
      <c r="H2" s="3" t="s">
        <v>56</v>
      </c>
      <c r="I2" s="3">
        <v>1</v>
      </c>
      <c r="J2" s="3">
        <v>2.2107133740000799</v>
      </c>
      <c r="K2" s="3" t="s">
        <v>48</v>
      </c>
      <c r="L2" s="3">
        <v>0</v>
      </c>
      <c r="M2" s="3">
        <v>0</v>
      </c>
      <c r="N2" s="3">
        <v>0</v>
      </c>
      <c r="O2" s="3">
        <v>0</v>
      </c>
      <c r="P2" s="3">
        <v>2.74024595799983</v>
      </c>
      <c r="Q2" s="2"/>
      <c r="R2" s="2"/>
      <c r="S2" s="2"/>
      <c r="T2" s="2"/>
      <c r="U2" s="2"/>
      <c r="V2" s="2"/>
      <c r="W2" s="2"/>
      <c r="X2" s="2"/>
      <c r="Y2" s="3">
        <v>2.7197715000002098</v>
      </c>
      <c r="Z2" s="3">
        <v>2.74024595799983</v>
      </c>
      <c r="AA2" s="3">
        <v>3.2106512919999699</v>
      </c>
      <c r="AB2" s="3">
        <v>3.2106512919999699</v>
      </c>
      <c r="AC2" s="3">
        <v>3.2106512919999699</v>
      </c>
      <c r="AD2" s="3">
        <v>5.2014548329998398</v>
      </c>
      <c r="AE2" s="3">
        <v>5.4324401250005403</v>
      </c>
      <c r="AF2" s="3" t="s">
        <v>56</v>
      </c>
      <c r="AG2" s="3">
        <v>1</v>
      </c>
      <c r="AH2" s="3">
        <v>2.2107133740000799</v>
      </c>
      <c r="AI2" s="3" t="s">
        <v>48</v>
      </c>
      <c r="AJ2" s="2"/>
      <c r="AK2" s="2"/>
      <c r="AL2" s="2"/>
      <c r="AM2" s="2"/>
      <c r="AN2" s="3">
        <v>4</v>
      </c>
      <c r="AO2" s="3">
        <v>1</v>
      </c>
      <c r="AP2" s="3" t="s">
        <v>65</v>
      </c>
      <c r="AQ2" s="3" t="s">
        <v>50</v>
      </c>
      <c r="AR2" s="2"/>
      <c r="AS2" s="3" t="s">
        <v>51</v>
      </c>
      <c r="AT2" s="3">
        <v>120.367240932855</v>
      </c>
      <c r="AU2" s="3" t="s">
        <v>66</v>
      </c>
      <c r="AV2" s="2"/>
    </row>
    <row r="3" spans="1:48" x14ac:dyDescent="0.2">
      <c r="A3" s="1" t="s">
        <v>53</v>
      </c>
      <c r="B3" s="3" t="s">
        <v>57</v>
      </c>
      <c r="C3" s="3" t="s">
        <v>58</v>
      </c>
      <c r="D3" s="3" t="s">
        <v>59</v>
      </c>
      <c r="E3" s="3">
        <v>3</v>
      </c>
      <c r="F3" s="3">
        <v>3</v>
      </c>
      <c r="G3" s="3">
        <v>0</v>
      </c>
      <c r="H3" s="3" t="s">
        <v>59</v>
      </c>
      <c r="I3" s="3">
        <v>1</v>
      </c>
      <c r="J3" s="3">
        <v>0.55733679199966002</v>
      </c>
      <c r="K3" s="3" t="s">
        <v>48</v>
      </c>
      <c r="L3" s="3">
        <v>0</v>
      </c>
      <c r="M3" s="3">
        <v>3</v>
      </c>
      <c r="N3" s="3">
        <v>3</v>
      </c>
      <c r="O3" s="3">
        <v>3</v>
      </c>
      <c r="P3" s="3">
        <v>8.0455242919997492</v>
      </c>
      <c r="Q3" s="2"/>
      <c r="R3" s="2"/>
      <c r="S3" s="2"/>
      <c r="T3" s="2"/>
      <c r="U3" s="2"/>
      <c r="V3" s="2"/>
      <c r="W3" s="2"/>
      <c r="X3" s="2"/>
      <c r="Y3" s="3">
        <v>8.0325937080006007</v>
      </c>
      <c r="Z3" s="3">
        <v>8.0455242919997492</v>
      </c>
      <c r="AA3" s="3">
        <v>8.5460161250002802</v>
      </c>
      <c r="AB3" s="3">
        <v>8.5460161250002802</v>
      </c>
      <c r="AC3" s="3">
        <v>8.5460161250002802</v>
      </c>
      <c r="AD3" s="2"/>
      <c r="AE3" s="3">
        <v>9.1146294999998592</v>
      </c>
      <c r="AF3" s="3" t="s">
        <v>59</v>
      </c>
      <c r="AG3" s="3">
        <v>1</v>
      </c>
      <c r="AH3" s="3">
        <v>0.55733679199966002</v>
      </c>
      <c r="AI3" s="3" t="s">
        <v>48</v>
      </c>
      <c r="AJ3" s="2"/>
      <c r="AK3" s="2"/>
      <c r="AL3" s="2"/>
      <c r="AM3" s="2"/>
      <c r="AN3" s="3">
        <v>4</v>
      </c>
      <c r="AO3" s="3">
        <v>1</v>
      </c>
      <c r="AP3" s="3" t="s">
        <v>65</v>
      </c>
      <c r="AQ3" s="3" t="s">
        <v>50</v>
      </c>
      <c r="AR3" s="2"/>
      <c r="AS3" s="3" t="s">
        <v>51</v>
      </c>
      <c r="AT3" s="3">
        <v>120.367240932855</v>
      </c>
      <c r="AU3" s="3" t="s">
        <v>66</v>
      </c>
      <c r="AV3" s="2"/>
    </row>
    <row r="4" spans="1:48" x14ac:dyDescent="0.2">
      <c r="A4" s="1" t="s">
        <v>60</v>
      </c>
      <c r="B4" s="3" t="s">
        <v>54</v>
      </c>
      <c r="C4" s="3" t="s">
        <v>58</v>
      </c>
      <c r="D4" s="3" t="s">
        <v>56</v>
      </c>
      <c r="E4" s="3">
        <v>4</v>
      </c>
      <c r="F4" s="3">
        <v>0</v>
      </c>
      <c r="G4" s="3">
        <v>1</v>
      </c>
      <c r="H4" s="3" t="s">
        <v>56</v>
      </c>
      <c r="I4" s="3">
        <v>1</v>
      </c>
      <c r="J4" s="3">
        <v>0.60145266700055799</v>
      </c>
      <c r="K4" s="3" t="s">
        <v>48</v>
      </c>
      <c r="L4" s="3">
        <v>1</v>
      </c>
      <c r="M4" s="3">
        <v>0</v>
      </c>
      <c r="N4" s="3">
        <v>4</v>
      </c>
      <c r="O4" s="3">
        <v>0</v>
      </c>
      <c r="P4" s="3">
        <v>9.1311249580003295</v>
      </c>
      <c r="Q4" s="2"/>
      <c r="R4" s="2"/>
      <c r="S4" s="2"/>
      <c r="T4" s="2"/>
      <c r="U4" s="2"/>
      <c r="V4" s="2"/>
      <c r="W4" s="2"/>
      <c r="X4" s="2"/>
      <c r="Y4" s="3">
        <v>9.1195199579997297</v>
      </c>
      <c r="Z4" s="3">
        <v>9.1311249580003295</v>
      </c>
      <c r="AA4" s="3">
        <v>9.6127430830001703</v>
      </c>
      <c r="AB4" s="3">
        <v>9.6127430830001703</v>
      </c>
      <c r="AC4" s="3">
        <v>9.6127430830001703</v>
      </c>
      <c r="AD4" s="2"/>
      <c r="AE4" s="3">
        <v>10.221003249999701</v>
      </c>
      <c r="AF4" s="3" t="s">
        <v>56</v>
      </c>
      <c r="AG4" s="3">
        <v>1</v>
      </c>
      <c r="AH4" s="3">
        <v>0.60145266700055799</v>
      </c>
      <c r="AI4" s="3" t="s">
        <v>48</v>
      </c>
      <c r="AJ4" s="2"/>
      <c r="AK4" s="2"/>
      <c r="AL4" s="2"/>
      <c r="AM4" s="2"/>
      <c r="AN4" s="3">
        <v>4</v>
      </c>
      <c r="AO4" s="3">
        <v>1</v>
      </c>
      <c r="AP4" s="3" t="s">
        <v>65</v>
      </c>
      <c r="AQ4" s="3" t="s">
        <v>50</v>
      </c>
      <c r="AR4" s="2"/>
      <c r="AS4" s="3" t="s">
        <v>51</v>
      </c>
      <c r="AT4" s="3">
        <v>120.367240932855</v>
      </c>
      <c r="AU4" s="3" t="s">
        <v>66</v>
      </c>
      <c r="AV4" s="2"/>
    </row>
    <row r="5" spans="1:48" x14ac:dyDescent="0.2">
      <c r="A5" s="1" t="s">
        <v>53</v>
      </c>
      <c r="B5" s="3" t="s">
        <v>57</v>
      </c>
      <c r="C5" s="3" t="s">
        <v>58</v>
      </c>
      <c r="D5" s="3" t="s">
        <v>59</v>
      </c>
      <c r="E5" s="3">
        <v>7</v>
      </c>
      <c r="F5" s="3">
        <v>3</v>
      </c>
      <c r="G5" s="3">
        <v>1</v>
      </c>
      <c r="H5" s="3" t="s">
        <v>59</v>
      </c>
      <c r="I5" s="3">
        <v>1</v>
      </c>
      <c r="J5" s="3">
        <v>0.45873670800028798</v>
      </c>
      <c r="K5" s="3" t="s">
        <v>48</v>
      </c>
      <c r="L5" s="3">
        <v>1</v>
      </c>
      <c r="M5" s="3">
        <v>3</v>
      </c>
      <c r="N5" s="3">
        <v>7</v>
      </c>
      <c r="O5" s="3">
        <v>3</v>
      </c>
      <c r="P5" s="3">
        <v>12.2544035420005</v>
      </c>
      <c r="Q5" s="2"/>
      <c r="R5" s="2"/>
      <c r="S5" s="2"/>
      <c r="T5" s="2"/>
      <c r="U5" s="2"/>
      <c r="V5" s="2"/>
      <c r="W5" s="2"/>
      <c r="X5" s="2"/>
      <c r="Y5" s="3">
        <v>12.243364124999999</v>
      </c>
      <c r="Z5" s="3">
        <v>12.2544035420005</v>
      </c>
      <c r="AA5" s="3">
        <v>12.736588167000299</v>
      </c>
      <c r="AB5" s="3">
        <v>12.736588167000299</v>
      </c>
      <c r="AC5" s="3">
        <v>12.736588167000299</v>
      </c>
      <c r="AD5" s="2"/>
      <c r="AE5" s="3">
        <v>13.1981554579997</v>
      </c>
      <c r="AF5" s="3" t="s">
        <v>59</v>
      </c>
      <c r="AG5" s="3">
        <v>1</v>
      </c>
      <c r="AH5" s="3">
        <v>0.45873670800028798</v>
      </c>
      <c r="AI5" s="3" t="s">
        <v>48</v>
      </c>
      <c r="AJ5" s="2"/>
      <c r="AK5" s="2"/>
      <c r="AL5" s="2"/>
      <c r="AM5" s="2"/>
      <c r="AN5" s="3">
        <v>4</v>
      </c>
      <c r="AO5" s="3">
        <v>1</v>
      </c>
      <c r="AP5" s="3" t="s">
        <v>65</v>
      </c>
      <c r="AQ5" s="3" t="s">
        <v>50</v>
      </c>
      <c r="AR5" s="2"/>
      <c r="AS5" s="3" t="s">
        <v>51</v>
      </c>
      <c r="AT5" s="3">
        <v>120.367240932855</v>
      </c>
      <c r="AU5" s="3" t="s">
        <v>66</v>
      </c>
      <c r="AV5" s="2"/>
    </row>
    <row r="6" spans="1:48" x14ac:dyDescent="0.2">
      <c r="A6" s="1" t="s">
        <v>53</v>
      </c>
      <c r="B6" s="3" t="s">
        <v>57</v>
      </c>
      <c r="C6" s="3" t="s">
        <v>58</v>
      </c>
      <c r="D6" s="3" t="s">
        <v>59</v>
      </c>
      <c r="E6" s="3">
        <v>8</v>
      </c>
      <c r="F6" s="3">
        <v>0</v>
      </c>
      <c r="G6" s="3">
        <v>2</v>
      </c>
      <c r="H6" s="3" t="s">
        <v>59</v>
      </c>
      <c r="I6" s="3">
        <v>1</v>
      </c>
      <c r="J6" s="3">
        <v>0.41558462500052001</v>
      </c>
      <c r="K6" s="3" t="s">
        <v>48</v>
      </c>
      <c r="L6" s="3">
        <v>2</v>
      </c>
      <c r="M6" s="3">
        <v>0</v>
      </c>
      <c r="N6" s="3">
        <v>8</v>
      </c>
      <c r="O6" s="3">
        <v>3</v>
      </c>
      <c r="P6" s="3">
        <v>13.211262583000501</v>
      </c>
      <c r="Q6" s="2"/>
      <c r="R6" s="2"/>
      <c r="S6" s="2"/>
      <c r="T6" s="2"/>
      <c r="U6" s="2"/>
      <c r="V6" s="2"/>
      <c r="W6" s="2"/>
      <c r="X6" s="2"/>
      <c r="Y6" s="3">
        <v>13.1993182920005</v>
      </c>
      <c r="Z6" s="3">
        <v>13.211262583000501</v>
      </c>
      <c r="AA6" s="3">
        <v>13.695887417000501</v>
      </c>
      <c r="AB6" s="3">
        <v>13.695887417000501</v>
      </c>
      <c r="AC6" s="3">
        <v>13.695887417000501</v>
      </c>
      <c r="AD6" s="2"/>
      <c r="AE6" s="3">
        <v>14.1146997080004</v>
      </c>
      <c r="AF6" s="3" t="s">
        <v>59</v>
      </c>
      <c r="AG6" s="3">
        <v>1</v>
      </c>
      <c r="AH6" s="3">
        <v>0.41558462500052001</v>
      </c>
      <c r="AI6" s="3" t="s">
        <v>48</v>
      </c>
      <c r="AJ6" s="2"/>
      <c r="AK6" s="2"/>
      <c r="AL6" s="2"/>
      <c r="AM6" s="2"/>
      <c r="AN6" s="3">
        <v>4</v>
      </c>
      <c r="AO6" s="3">
        <v>1</v>
      </c>
      <c r="AP6" s="3" t="s">
        <v>65</v>
      </c>
      <c r="AQ6" s="3" t="s">
        <v>50</v>
      </c>
      <c r="AR6" s="2"/>
      <c r="AS6" s="3" t="s">
        <v>51</v>
      </c>
      <c r="AT6" s="3">
        <v>120.367240932855</v>
      </c>
      <c r="AU6" s="3" t="s">
        <v>66</v>
      </c>
      <c r="AV6" s="2"/>
    </row>
    <row r="7" spans="1:48" x14ac:dyDescent="0.2">
      <c r="A7" s="1" t="s">
        <v>60</v>
      </c>
      <c r="B7" s="3" t="s">
        <v>54</v>
      </c>
      <c r="C7" s="3" t="s">
        <v>58</v>
      </c>
      <c r="D7" s="3" t="s">
        <v>56</v>
      </c>
      <c r="E7" s="3">
        <v>11</v>
      </c>
      <c r="F7" s="3">
        <v>3</v>
      </c>
      <c r="G7" s="3">
        <v>2</v>
      </c>
      <c r="H7" s="3" t="s">
        <v>56</v>
      </c>
      <c r="I7" s="3">
        <v>1</v>
      </c>
      <c r="J7" s="3">
        <v>0.36690749999979699</v>
      </c>
      <c r="K7" s="3" t="s">
        <v>48</v>
      </c>
      <c r="L7" s="3">
        <v>2</v>
      </c>
      <c r="M7" s="3">
        <v>3</v>
      </c>
      <c r="N7" s="3">
        <v>11</v>
      </c>
      <c r="O7" s="3">
        <v>0</v>
      </c>
      <c r="P7" s="3">
        <v>16.1028665000003</v>
      </c>
      <c r="Q7" s="2"/>
      <c r="R7" s="2"/>
      <c r="S7" s="2"/>
      <c r="T7" s="2"/>
      <c r="U7" s="2"/>
      <c r="V7" s="2"/>
      <c r="W7" s="2"/>
      <c r="X7" s="2"/>
      <c r="Y7" s="3">
        <v>16.092262083000598</v>
      </c>
      <c r="Z7" s="3">
        <v>16.1028665000003</v>
      </c>
      <c r="AA7" s="3">
        <v>16.578578749999899</v>
      </c>
      <c r="AB7" s="3">
        <v>16.578578749999899</v>
      </c>
      <c r="AC7" s="3">
        <v>16.578578749999899</v>
      </c>
      <c r="AD7" s="2"/>
      <c r="AE7" s="3">
        <v>16.9481894580003</v>
      </c>
      <c r="AF7" s="3" t="s">
        <v>56</v>
      </c>
      <c r="AG7" s="3">
        <v>1</v>
      </c>
      <c r="AH7" s="3">
        <v>0.36690749999979699</v>
      </c>
      <c r="AI7" s="3" t="s">
        <v>48</v>
      </c>
      <c r="AJ7" s="2"/>
      <c r="AK7" s="2"/>
      <c r="AL7" s="2"/>
      <c r="AM7" s="2"/>
      <c r="AN7" s="3">
        <v>4</v>
      </c>
      <c r="AO7" s="3">
        <v>1</v>
      </c>
      <c r="AP7" s="3" t="s">
        <v>65</v>
      </c>
      <c r="AQ7" s="3" t="s">
        <v>50</v>
      </c>
      <c r="AR7" s="2"/>
      <c r="AS7" s="3" t="s">
        <v>51</v>
      </c>
      <c r="AT7" s="3">
        <v>120.367240932855</v>
      </c>
      <c r="AU7" s="3" t="s">
        <v>66</v>
      </c>
      <c r="AV7" s="2"/>
    </row>
    <row r="8" spans="1:48" x14ac:dyDescent="0.2">
      <c r="A8" s="1" t="s">
        <v>60</v>
      </c>
      <c r="B8" s="3" t="s">
        <v>54</v>
      </c>
      <c r="C8" s="3" t="s">
        <v>58</v>
      </c>
      <c r="D8" s="3" t="s">
        <v>56</v>
      </c>
      <c r="E8" s="3">
        <v>13</v>
      </c>
      <c r="F8" s="3">
        <v>1</v>
      </c>
      <c r="G8" s="3">
        <v>3</v>
      </c>
      <c r="H8" s="3" t="s">
        <v>56</v>
      </c>
      <c r="I8" s="3">
        <v>1</v>
      </c>
      <c r="J8" s="3">
        <v>0.34610016599981502</v>
      </c>
      <c r="K8" s="3" t="s">
        <v>48</v>
      </c>
      <c r="L8" s="3">
        <v>3</v>
      </c>
      <c r="M8" s="3">
        <v>1</v>
      </c>
      <c r="N8" s="3">
        <v>13</v>
      </c>
      <c r="O8" s="3">
        <v>0</v>
      </c>
      <c r="P8" s="3">
        <v>17.928732000000299</v>
      </c>
      <c r="Q8" s="2"/>
      <c r="R8" s="2"/>
      <c r="S8" s="2"/>
      <c r="T8" s="2"/>
      <c r="U8" s="2"/>
      <c r="V8" s="2"/>
      <c r="W8" s="2"/>
      <c r="X8" s="2"/>
      <c r="Y8" s="3">
        <v>17.915595042</v>
      </c>
      <c r="Z8" s="3">
        <v>17.928732000000299</v>
      </c>
      <c r="AA8" s="3">
        <v>18.412173917000501</v>
      </c>
      <c r="AB8" s="3">
        <v>18.412173917000501</v>
      </c>
      <c r="AC8" s="3">
        <v>18.412173917000501</v>
      </c>
      <c r="AD8" s="2"/>
      <c r="AE8" s="3">
        <v>18.764915583000398</v>
      </c>
      <c r="AF8" s="3" t="s">
        <v>56</v>
      </c>
      <c r="AG8" s="3">
        <v>1</v>
      </c>
      <c r="AH8" s="3">
        <v>0.34610016599981502</v>
      </c>
      <c r="AI8" s="3" t="s">
        <v>48</v>
      </c>
      <c r="AJ8" s="2"/>
      <c r="AK8" s="2"/>
      <c r="AL8" s="2"/>
      <c r="AM8" s="2"/>
      <c r="AN8" s="3">
        <v>4</v>
      </c>
      <c r="AO8" s="3">
        <v>1</v>
      </c>
      <c r="AP8" s="3" t="s">
        <v>65</v>
      </c>
      <c r="AQ8" s="3" t="s">
        <v>50</v>
      </c>
      <c r="AR8" s="2"/>
      <c r="AS8" s="3" t="s">
        <v>51</v>
      </c>
      <c r="AT8" s="3">
        <v>120.367240932855</v>
      </c>
      <c r="AU8" s="3" t="s">
        <v>66</v>
      </c>
      <c r="AV8" s="2"/>
    </row>
    <row r="9" spans="1:48" x14ac:dyDescent="0.2">
      <c r="A9" s="1" t="s">
        <v>53</v>
      </c>
      <c r="B9" s="3" t="s">
        <v>57</v>
      </c>
      <c r="C9" s="3" t="s">
        <v>58</v>
      </c>
      <c r="D9" s="3" t="s">
        <v>59</v>
      </c>
      <c r="E9" s="3">
        <v>15</v>
      </c>
      <c r="F9" s="3">
        <v>3</v>
      </c>
      <c r="G9" s="3">
        <v>3</v>
      </c>
      <c r="H9" s="3" t="s">
        <v>59</v>
      </c>
      <c r="I9" s="3">
        <v>1</v>
      </c>
      <c r="J9" s="3">
        <v>0.51498254199941595</v>
      </c>
      <c r="K9" s="3" t="s">
        <v>48</v>
      </c>
      <c r="L9" s="3">
        <v>3</v>
      </c>
      <c r="M9" s="3">
        <v>3</v>
      </c>
      <c r="N9" s="3">
        <v>15</v>
      </c>
      <c r="O9" s="3">
        <v>3</v>
      </c>
      <c r="P9" s="3">
        <v>19.846153125000502</v>
      </c>
      <c r="Q9" s="2"/>
      <c r="R9" s="2"/>
      <c r="S9" s="2"/>
      <c r="T9" s="2"/>
      <c r="U9" s="2"/>
      <c r="V9" s="2"/>
      <c r="W9" s="2"/>
      <c r="X9" s="2"/>
      <c r="Y9" s="3">
        <v>19.8330320000005</v>
      </c>
      <c r="Z9" s="3">
        <v>19.846153125000502</v>
      </c>
      <c r="AA9" s="3">
        <v>20.329337917</v>
      </c>
      <c r="AB9" s="3">
        <v>20.329337917</v>
      </c>
      <c r="AC9" s="3">
        <v>20.329337917</v>
      </c>
      <c r="AD9" s="2"/>
      <c r="AE9" s="3">
        <v>20.8475397500006</v>
      </c>
      <c r="AF9" s="3" t="s">
        <v>59</v>
      </c>
      <c r="AG9" s="3">
        <v>1</v>
      </c>
      <c r="AH9" s="3">
        <v>0.51498254199941595</v>
      </c>
      <c r="AI9" s="3" t="s">
        <v>48</v>
      </c>
      <c r="AJ9" s="2"/>
      <c r="AK9" s="2"/>
      <c r="AL9" s="2"/>
      <c r="AM9" s="2"/>
      <c r="AN9" s="3">
        <v>4</v>
      </c>
      <c r="AO9" s="3">
        <v>1</v>
      </c>
      <c r="AP9" s="3" t="s">
        <v>65</v>
      </c>
      <c r="AQ9" s="3" t="s">
        <v>50</v>
      </c>
      <c r="AR9" s="2"/>
      <c r="AS9" s="3" t="s">
        <v>51</v>
      </c>
      <c r="AT9" s="3">
        <v>120.367240932855</v>
      </c>
      <c r="AU9" s="3" t="s">
        <v>66</v>
      </c>
      <c r="AV9" s="2"/>
    </row>
    <row r="10" spans="1:48" x14ac:dyDescent="0.2">
      <c r="A10" s="1" t="s">
        <v>53</v>
      </c>
      <c r="B10" s="3" t="s">
        <v>57</v>
      </c>
      <c r="C10" s="3" t="s">
        <v>58</v>
      </c>
      <c r="D10" s="3" t="s">
        <v>59</v>
      </c>
      <c r="E10" s="3">
        <v>16</v>
      </c>
      <c r="F10" s="3">
        <v>0</v>
      </c>
      <c r="G10" s="3">
        <v>4</v>
      </c>
      <c r="H10" s="3" t="s">
        <v>59</v>
      </c>
      <c r="I10" s="3">
        <v>1</v>
      </c>
      <c r="J10" s="3">
        <v>0.67824770800052703</v>
      </c>
      <c r="K10" s="3" t="s">
        <v>48</v>
      </c>
      <c r="L10" s="3">
        <v>4</v>
      </c>
      <c r="M10" s="3">
        <v>0</v>
      </c>
      <c r="N10" s="3">
        <v>16</v>
      </c>
      <c r="O10" s="3">
        <v>3</v>
      </c>
      <c r="P10" s="3">
        <v>20.860652375000399</v>
      </c>
      <c r="Q10" s="2"/>
      <c r="R10" s="2"/>
      <c r="S10" s="2"/>
      <c r="T10" s="2"/>
      <c r="U10" s="2"/>
      <c r="V10" s="2"/>
      <c r="W10" s="2"/>
      <c r="X10" s="2"/>
      <c r="Y10" s="3">
        <v>20.848678041999801</v>
      </c>
      <c r="Z10" s="3">
        <v>20.860652375000399</v>
      </c>
      <c r="AA10" s="3">
        <v>21.3460920830003</v>
      </c>
      <c r="AB10" s="3">
        <v>21.3460920830003</v>
      </c>
      <c r="AC10" s="3">
        <v>21.3460920830003</v>
      </c>
      <c r="AD10" s="2"/>
      <c r="AE10" s="3">
        <v>22.0316858750002</v>
      </c>
      <c r="AF10" s="3" t="s">
        <v>59</v>
      </c>
      <c r="AG10" s="3">
        <v>1</v>
      </c>
      <c r="AH10" s="3">
        <v>0.67824770800052703</v>
      </c>
      <c r="AI10" s="3" t="s">
        <v>48</v>
      </c>
      <c r="AJ10" s="2"/>
      <c r="AK10" s="2"/>
      <c r="AL10" s="2"/>
      <c r="AM10" s="2"/>
      <c r="AN10" s="3">
        <v>4</v>
      </c>
      <c r="AO10" s="3">
        <v>1</v>
      </c>
      <c r="AP10" s="3" t="s">
        <v>65</v>
      </c>
      <c r="AQ10" s="3" t="s">
        <v>50</v>
      </c>
      <c r="AR10" s="2"/>
      <c r="AS10" s="3" t="s">
        <v>51</v>
      </c>
      <c r="AT10" s="3">
        <v>120.367240932855</v>
      </c>
      <c r="AU10" s="3" t="s">
        <v>66</v>
      </c>
      <c r="AV10" s="2"/>
    </row>
    <row r="11" spans="1:48" x14ac:dyDescent="0.2">
      <c r="A11" s="1" t="s">
        <v>60</v>
      </c>
      <c r="B11" s="3" t="s">
        <v>54</v>
      </c>
      <c r="C11" s="3" t="s">
        <v>58</v>
      </c>
      <c r="D11" s="3" t="s">
        <v>56</v>
      </c>
      <c r="E11" s="3">
        <v>17</v>
      </c>
      <c r="F11" s="3">
        <v>1</v>
      </c>
      <c r="G11" s="3">
        <v>4</v>
      </c>
      <c r="H11" s="3" t="s">
        <v>56</v>
      </c>
      <c r="I11" s="3">
        <v>1</v>
      </c>
      <c r="J11" s="3">
        <v>0.42199279199940098</v>
      </c>
      <c r="K11" s="3" t="s">
        <v>48</v>
      </c>
      <c r="L11" s="3">
        <v>4</v>
      </c>
      <c r="M11" s="3">
        <v>1</v>
      </c>
      <c r="N11" s="3">
        <v>17</v>
      </c>
      <c r="O11" s="3">
        <v>0</v>
      </c>
      <c r="P11" s="3">
        <v>22.046732333000399</v>
      </c>
      <c r="Q11" s="2"/>
      <c r="R11" s="2"/>
      <c r="S11" s="2"/>
      <c r="T11" s="2"/>
      <c r="U11" s="2"/>
      <c r="V11" s="2"/>
      <c r="W11" s="2"/>
      <c r="X11" s="2"/>
      <c r="Y11" s="3">
        <v>22.035262375000499</v>
      </c>
      <c r="Z11" s="3">
        <v>22.046732333000399</v>
      </c>
      <c r="AA11" s="3">
        <v>22.529345083000401</v>
      </c>
      <c r="AB11" s="3">
        <v>22.529345083000401</v>
      </c>
      <c r="AC11" s="3">
        <v>22.529345083000401</v>
      </c>
      <c r="AD11" s="2"/>
      <c r="AE11" s="3">
        <v>22.9539159579999</v>
      </c>
      <c r="AF11" s="3" t="s">
        <v>56</v>
      </c>
      <c r="AG11" s="3">
        <v>1</v>
      </c>
      <c r="AH11" s="3">
        <v>0.42199279199940098</v>
      </c>
      <c r="AI11" s="3" t="s">
        <v>48</v>
      </c>
      <c r="AJ11" s="2"/>
      <c r="AK11" s="2"/>
      <c r="AL11" s="2"/>
      <c r="AM11" s="2"/>
      <c r="AN11" s="3">
        <v>4</v>
      </c>
      <c r="AO11" s="3">
        <v>1</v>
      </c>
      <c r="AP11" s="3" t="s">
        <v>65</v>
      </c>
      <c r="AQ11" s="3" t="s">
        <v>50</v>
      </c>
      <c r="AR11" s="2"/>
      <c r="AS11" s="3" t="s">
        <v>51</v>
      </c>
      <c r="AT11" s="3">
        <v>120.367240932855</v>
      </c>
      <c r="AU11" s="3" t="s">
        <v>66</v>
      </c>
      <c r="AV11" s="2"/>
    </row>
    <row r="12" spans="1:48" x14ac:dyDescent="0.2">
      <c r="A12" s="1" t="s">
        <v>60</v>
      </c>
      <c r="B12" s="3" t="s">
        <v>54</v>
      </c>
      <c r="C12" s="3" t="s">
        <v>58</v>
      </c>
      <c r="D12" s="3" t="s">
        <v>56</v>
      </c>
      <c r="E12" s="3">
        <v>20</v>
      </c>
      <c r="F12" s="3">
        <v>0</v>
      </c>
      <c r="G12" s="3">
        <v>5</v>
      </c>
      <c r="H12" s="3" t="s">
        <v>56</v>
      </c>
      <c r="I12" s="3">
        <v>1</v>
      </c>
      <c r="J12" s="3">
        <v>1.5387469580000499</v>
      </c>
      <c r="K12" s="3" t="s">
        <v>48</v>
      </c>
      <c r="L12" s="3">
        <v>5</v>
      </c>
      <c r="M12" s="3">
        <v>0</v>
      </c>
      <c r="N12" s="3">
        <v>20</v>
      </c>
      <c r="O12" s="3">
        <v>0</v>
      </c>
      <c r="P12" s="3">
        <v>24.9458883329999</v>
      </c>
      <c r="Q12" s="2"/>
      <c r="R12" s="2"/>
      <c r="S12" s="2"/>
      <c r="T12" s="2"/>
      <c r="U12" s="2"/>
      <c r="V12" s="2"/>
      <c r="W12" s="2"/>
      <c r="X12" s="2"/>
      <c r="Y12" s="3">
        <v>24.937412291999902</v>
      </c>
      <c r="Z12" s="3">
        <v>24.9458883329999</v>
      </c>
      <c r="AA12" s="3">
        <v>25.4286609580004</v>
      </c>
      <c r="AB12" s="3">
        <v>25.4286609580004</v>
      </c>
      <c r="AC12" s="3">
        <v>25.4286609580004</v>
      </c>
      <c r="AD12" s="2"/>
      <c r="AE12" s="3">
        <v>26.970811000000101</v>
      </c>
      <c r="AF12" s="3" t="s">
        <v>56</v>
      </c>
      <c r="AG12" s="3">
        <v>1</v>
      </c>
      <c r="AH12" s="3">
        <v>1.5387469580000499</v>
      </c>
      <c r="AI12" s="3" t="s">
        <v>48</v>
      </c>
      <c r="AJ12" s="2"/>
      <c r="AK12" s="2"/>
      <c r="AL12" s="2"/>
      <c r="AM12" s="2"/>
      <c r="AN12" s="3">
        <v>4</v>
      </c>
      <c r="AO12" s="3">
        <v>1</v>
      </c>
      <c r="AP12" s="3" t="s">
        <v>65</v>
      </c>
      <c r="AQ12" s="3" t="s">
        <v>50</v>
      </c>
      <c r="AR12" s="2"/>
      <c r="AS12" s="3" t="s">
        <v>51</v>
      </c>
      <c r="AT12" s="3">
        <v>120.367240932855</v>
      </c>
      <c r="AU12" s="3" t="s">
        <v>66</v>
      </c>
      <c r="AV12" s="2"/>
    </row>
    <row r="13" spans="1:48" x14ac:dyDescent="0.2">
      <c r="A13" s="1" t="s">
        <v>53</v>
      </c>
      <c r="B13" s="3" t="s">
        <v>57</v>
      </c>
      <c r="C13" s="3" t="s">
        <v>58</v>
      </c>
      <c r="D13" s="3" t="s">
        <v>59</v>
      </c>
      <c r="E13" s="3">
        <v>23</v>
      </c>
      <c r="F13" s="3">
        <v>3</v>
      </c>
      <c r="G13" s="3">
        <v>5</v>
      </c>
      <c r="H13" s="3" t="s">
        <v>59</v>
      </c>
      <c r="I13" s="3">
        <v>1</v>
      </c>
      <c r="J13" s="3">
        <v>0.49478166599965301</v>
      </c>
      <c r="K13" s="3" t="s">
        <v>48</v>
      </c>
      <c r="L13" s="3">
        <v>5</v>
      </c>
      <c r="M13" s="3">
        <v>3</v>
      </c>
      <c r="N13" s="3">
        <v>23</v>
      </c>
      <c r="O13" s="3">
        <v>3</v>
      </c>
      <c r="P13" s="3">
        <v>29.550121791999999</v>
      </c>
      <c r="Q13" s="2"/>
      <c r="R13" s="2"/>
      <c r="S13" s="2"/>
      <c r="T13" s="2"/>
      <c r="U13" s="2"/>
      <c r="V13" s="2"/>
      <c r="W13" s="2"/>
      <c r="X13" s="2"/>
      <c r="Y13" s="3">
        <v>29.538228750000599</v>
      </c>
      <c r="Z13" s="3">
        <v>29.550121791999999</v>
      </c>
      <c r="AA13" s="3">
        <v>30.029582625000302</v>
      </c>
      <c r="AB13" s="3">
        <v>30.029582625000302</v>
      </c>
      <c r="AC13" s="3">
        <v>30.029582625000302</v>
      </c>
      <c r="AD13" s="2"/>
      <c r="AE13" s="3">
        <v>30.532059666999899</v>
      </c>
      <c r="AF13" s="3" t="s">
        <v>59</v>
      </c>
      <c r="AG13" s="3">
        <v>1</v>
      </c>
      <c r="AH13" s="3">
        <v>0.49478166599965301</v>
      </c>
      <c r="AI13" s="3" t="s">
        <v>48</v>
      </c>
      <c r="AJ13" s="2"/>
      <c r="AK13" s="2"/>
      <c r="AL13" s="2"/>
      <c r="AM13" s="2"/>
      <c r="AN13" s="3">
        <v>4</v>
      </c>
      <c r="AO13" s="3">
        <v>1</v>
      </c>
      <c r="AP13" s="3" t="s">
        <v>65</v>
      </c>
      <c r="AQ13" s="3" t="s">
        <v>50</v>
      </c>
      <c r="AR13" s="2"/>
      <c r="AS13" s="3" t="s">
        <v>51</v>
      </c>
      <c r="AT13" s="3">
        <v>120.367240932855</v>
      </c>
      <c r="AU13" s="3" t="s">
        <v>66</v>
      </c>
      <c r="AV13" s="2"/>
    </row>
    <row r="14" spans="1:48" x14ac:dyDescent="0.2">
      <c r="A14" s="1" t="s">
        <v>53</v>
      </c>
      <c r="B14" s="3" t="s">
        <v>57</v>
      </c>
      <c r="C14" s="3" t="s">
        <v>58</v>
      </c>
      <c r="D14" s="3" t="s">
        <v>59</v>
      </c>
      <c r="E14" s="3">
        <v>24</v>
      </c>
      <c r="F14" s="3">
        <v>0</v>
      </c>
      <c r="G14" s="3">
        <v>6</v>
      </c>
      <c r="H14" s="3" t="s">
        <v>59</v>
      </c>
      <c r="I14" s="3">
        <v>1</v>
      </c>
      <c r="J14" s="3">
        <v>0.421884458000022</v>
      </c>
      <c r="K14" s="3" t="s">
        <v>48</v>
      </c>
      <c r="L14" s="3">
        <v>6</v>
      </c>
      <c r="M14" s="3">
        <v>0</v>
      </c>
      <c r="N14" s="3">
        <v>24</v>
      </c>
      <c r="O14" s="3">
        <v>3</v>
      </c>
      <c r="P14" s="3">
        <v>30.544450333</v>
      </c>
      <c r="Q14" s="2"/>
      <c r="R14" s="2"/>
      <c r="S14" s="2"/>
      <c r="T14" s="2"/>
      <c r="U14" s="2"/>
      <c r="V14" s="2"/>
      <c r="W14" s="2"/>
      <c r="X14" s="2"/>
      <c r="Y14" s="3">
        <v>30.533051125000402</v>
      </c>
      <c r="Z14" s="3">
        <v>30.544450333</v>
      </c>
      <c r="AA14" s="3">
        <v>31.0294445</v>
      </c>
      <c r="AB14" s="3">
        <v>31.0294445</v>
      </c>
      <c r="AC14" s="3">
        <v>31.0294445</v>
      </c>
      <c r="AD14" s="2"/>
      <c r="AE14" s="3">
        <v>31.454138416999701</v>
      </c>
      <c r="AF14" s="3" t="s">
        <v>59</v>
      </c>
      <c r="AG14" s="3">
        <v>1</v>
      </c>
      <c r="AH14" s="3">
        <v>0.421884458000022</v>
      </c>
      <c r="AI14" s="3" t="s">
        <v>48</v>
      </c>
      <c r="AJ14" s="2"/>
      <c r="AK14" s="2"/>
      <c r="AL14" s="2"/>
      <c r="AM14" s="2"/>
      <c r="AN14" s="3">
        <v>4</v>
      </c>
      <c r="AO14" s="3">
        <v>1</v>
      </c>
      <c r="AP14" s="3" t="s">
        <v>65</v>
      </c>
      <c r="AQ14" s="3" t="s">
        <v>50</v>
      </c>
      <c r="AR14" s="2"/>
      <c r="AS14" s="3" t="s">
        <v>51</v>
      </c>
      <c r="AT14" s="3">
        <v>120.367240932855</v>
      </c>
      <c r="AU14" s="3" t="s">
        <v>66</v>
      </c>
      <c r="AV14" s="2"/>
    </row>
    <row r="15" spans="1:48" x14ac:dyDescent="0.2">
      <c r="A15" s="1" t="s">
        <v>60</v>
      </c>
      <c r="B15" s="3" t="s">
        <v>54</v>
      </c>
      <c r="C15" s="3" t="s">
        <v>58</v>
      </c>
      <c r="D15" s="3" t="s">
        <v>56</v>
      </c>
      <c r="E15" s="3">
        <v>27</v>
      </c>
      <c r="F15" s="3">
        <v>3</v>
      </c>
      <c r="G15" s="3">
        <v>6</v>
      </c>
      <c r="H15" s="3" t="s">
        <v>56</v>
      </c>
      <c r="I15" s="3">
        <v>1</v>
      </c>
      <c r="J15" s="3">
        <v>1.8090111660003501</v>
      </c>
      <c r="K15" s="3" t="s">
        <v>48</v>
      </c>
      <c r="L15" s="3">
        <v>6</v>
      </c>
      <c r="M15" s="3">
        <v>3</v>
      </c>
      <c r="N15" s="3">
        <v>27</v>
      </c>
      <c r="O15" s="3">
        <v>0</v>
      </c>
      <c r="P15" s="3">
        <v>33.661707207999797</v>
      </c>
      <c r="Q15" s="2"/>
      <c r="R15" s="2"/>
      <c r="S15" s="2"/>
      <c r="T15" s="2"/>
      <c r="U15" s="2"/>
      <c r="V15" s="2"/>
      <c r="W15" s="2"/>
      <c r="X15" s="2"/>
      <c r="Y15" s="3">
        <v>33.649634041999903</v>
      </c>
      <c r="Z15" s="3">
        <v>33.661707207999797</v>
      </c>
      <c r="AA15" s="3">
        <v>34.146230792000097</v>
      </c>
      <c r="AB15" s="3">
        <v>34.146230792000097</v>
      </c>
      <c r="AC15" s="3">
        <v>34.146230792000097</v>
      </c>
      <c r="AD15" s="2"/>
      <c r="AE15" s="3">
        <v>35.964986375000102</v>
      </c>
      <c r="AF15" s="3" t="s">
        <v>56</v>
      </c>
      <c r="AG15" s="3">
        <v>1</v>
      </c>
      <c r="AH15" s="3">
        <v>1.8090111660003501</v>
      </c>
      <c r="AI15" s="3" t="s">
        <v>48</v>
      </c>
      <c r="AJ15" s="2"/>
      <c r="AK15" s="2"/>
      <c r="AL15" s="2"/>
      <c r="AM15" s="2"/>
      <c r="AN15" s="3">
        <v>4</v>
      </c>
      <c r="AO15" s="3">
        <v>1</v>
      </c>
      <c r="AP15" s="3" t="s">
        <v>65</v>
      </c>
      <c r="AQ15" s="3" t="s">
        <v>50</v>
      </c>
      <c r="AR15" s="2"/>
      <c r="AS15" s="3" t="s">
        <v>51</v>
      </c>
      <c r="AT15" s="3">
        <v>120.367240932855</v>
      </c>
      <c r="AU15" s="3" t="s">
        <v>66</v>
      </c>
      <c r="AV15" s="2"/>
    </row>
    <row r="16" spans="1:48" x14ac:dyDescent="0.2">
      <c r="A16" s="1" t="s">
        <v>60</v>
      </c>
      <c r="B16" s="3" t="s">
        <v>54</v>
      </c>
      <c r="C16" s="3" t="s">
        <v>58</v>
      </c>
      <c r="D16" s="3" t="s">
        <v>56</v>
      </c>
      <c r="E16" s="3">
        <v>28</v>
      </c>
      <c r="F16" s="3">
        <v>0</v>
      </c>
      <c r="G16" s="3">
        <v>7</v>
      </c>
      <c r="H16" s="3" t="s">
        <v>56</v>
      </c>
      <c r="I16" s="3">
        <v>1</v>
      </c>
      <c r="J16" s="3">
        <v>0.48476041699996097</v>
      </c>
      <c r="K16" s="3" t="s">
        <v>48</v>
      </c>
      <c r="L16" s="3">
        <v>7</v>
      </c>
      <c r="M16" s="3">
        <v>0</v>
      </c>
      <c r="N16" s="3">
        <v>28</v>
      </c>
      <c r="O16" s="3">
        <v>0</v>
      </c>
      <c r="P16" s="3">
        <v>35.978316958000498</v>
      </c>
      <c r="Q16" s="2"/>
      <c r="R16" s="2"/>
      <c r="S16" s="2"/>
      <c r="T16" s="2"/>
      <c r="U16" s="2"/>
      <c r="V16" s="2"/>
      <c r="W16" s="2"/>
      <c r="X16" s="2"/>
      <c r="Y16" s="3">
        <v>35.966272042000099</v>
      </c>
      <c r="Z16" s="3">
        <v>35.978316958000498</v>
      </c>
      <c r="AA16" s="3">
        <v>36.462495208000298</v>
      </c>
      <c r="AB16" s="3">
        <v>36.462495208000298</v>
      </c>
      <c r="AC16" s="3">
        <v>36.462495208000298</v>
      </c>
      <c r="AD16" s="2"/>
      <c r="AE16" s="3">
        <v>36.954010792000197</v>
      </c>
      <c r="AF16" s="3" t="s">
        <v>56</v>
      </c>
      <c r="AG16" s="3">
        <v>1</v>
      </c>
      <c r="AH16" s="3">
        <v>0.48476041699996097</v>
      </c>
      <c r="AI16" s="3" t="s">
        <v>48</v>
      </c>
      <c r="AJ16" s="2"/>
      <c r="AK16" s="2"/>
      <c r="AL16" s="2"/>
      <c r="AM16" s="2"/>
      <c r="AN16" s="3">
        <v>4</v>
      </c>
      <c r="AO16" s="3">
        <v>1</v>
      </c>
      <c r="AP16" s="3" t="s">
        <v>65</v>
      </c>
      <c r="AQ16" s="3" t="s">
        <v>50</v>
      </c>
      <c r="AR16" s="2"/>
      <c r="AS16" s="3" t="s">
        <v>51</v>
      </c>
      <c r="AT16" s="3">
        <v>120.367240932855</v>
      </c>
      <c r="AU16" s="3" t="s">
        <v>66</v>
      </c>
      <c r="AV16" s="2"/>
    </row>
    <row r="17" spans="1:48" x14ac:dyDescent="0.2">
      <c r="A17" s="1" t="s">
        <v>53</v>
      </c>
      <c r="B17" s="3" t="s">
        <v>57</v>
      </c>
      <c r="C17" s="3" t="s">
        <v>58</v>
      </c>
      <c r="D17" s="3" t="s">
        <v>59</v>
      </c>
      <c r="E17" s="3">
        <v>29</v>
      </c>
      <c r="F17" s="3">
        <v>1</v>
      </c>
      <c r="G17" s="3">
        <v>7</v>
      </c>
      <c r="H17" s="3" t="s">
        <v>59</v>
      </c>
      <c r="I17" s="3">
        <v>1</v>
      </c>
      <c r="J17" s="3">
        <v>0.77344629099934503</v>
      </c>
      <c r="K17" s="3" t="s">
        <v>48</v>
      </c>
      <c r="L17" s="3">
        <v>7</v>
      </c>
      <c r="M17" s="3">
        <v>1</v>
      </c>
      <c r="N17" s="3">
        <v>29</v>
      </c>
      <c r="O17" s="3">
        <v>3</v>
      </c>
      <c r="P17" s="3">
        <v>36.9689825000005</v>
      </c>
      <c r="Q17" s="2"/>
      <c r="R17" s="2"/>
      <c r="S17" s="2"/>
      <c r="T17" s="2"/>
      <c r="U17" s="2"/>
      <c r="V17" s="2"/>
      <c r="W17" s="2"/>
      <c r="X17" s="2"/>
      <c r="Y17" s="3">
        <v>36.958223000000501</v>
      </c>
      <c r="Z17" s="3">
        <v>36.9689825000005</v>
      </c>
      <c r="AA17" s="3">
        <v>37.445916083000199</v>
      </c>
      <c r="AB17" s="3">
        <v>37.445916083000199</v>
      </c>
      <c r="AC17" s="3">
        <v>37.445916083000199</v>
      </c>
      <c r="AD17" s="2"/>
      <c r="AE17" s="3">
        <v>38.222114750000401</v>
      </c>
      <c r="AF17" s="3" t="s">
        <v>59</v>
      </c>
      <c r="AG17" s="3">
        <v>1</v>
      </c>
      <c r="AH17" s="3">
        <v>0.77344629099934503</v>
      </c>
      <c r="AI17" s="3" t="s">
        <v>48</v>
      </c>
      <c r="AJ17" s="2"/>
      <c r="AK17" s="2"/>
      <c r="AL17" s="2"/>
      <c r="AM17" s="2"/>
      <c r="AN17" s="3">
        <v>4</v>
      </c>
      <c r="AO17" s="3">
        <v>1</v>
      </c>
      <c r="AP17" s="3" t="s">
        <v>65</v>
      </c>
      <c r="AQ17" s="3" t="s">
        <v>50</v>
      </c>
      <c r="AR17" s="2"/>
      <c r="AS17" s="3" t="s">
        <v>51</v>
      </c>
      <c r="AT17" s="3">
        <v>120.367240932855</v>
      </c>
      <c r="AU17" s="3" t="s">
        <v>66</v>
      </c>
      <c r="AV17" s="2"/>
    </row>
    <row r="18" spans="1:48" x14ac:dyDescent="0.2">
      <c r="A18" s="1" t="s">
        <v>53</v>
      </c>
      <c r="B18" s="3" t="s">
        <v>57</v>
      </c>
      <c r="C18" s="3" t="s">
        <v>58</v>
      </c>
      <c r="D18" s="3" t="s">
        <v>59</v>
      </c>
      <c r="E18" s="3">
        <v>34</v>
      </c>
      <c r="F18" s="3">
        <v>2</v>
      </c>
      <c r="G18" s="3">
        <v>8</v>
      </c>
      <c r="H18" s="3" t="s">
        <v>59</v>
      </c>
      <c r="I18" s="3">
        <v>1</v>
      </c>
      <c r="J18" s="3">
        <v>0.585580292000486</v>
      </c>
      <c r="K18" s="3" t="s">
        <v>48</v>
      </c>
      <c r="L18" s="3">
        <v>8</v>
      </c>
      <c r="M18" s="3">
        <v>2</v>
      </c>
      <c r="N18" s="3">
        <v>34</v>
      </c>
      <c r="O18" s="3">
        <v>3</v>
      </c>
      <c r="P18" s="3">
        <v>43.7692811249999</v>
      </c>
      <c r="Q18" s="2"/>
      <c r="R18" s="2"/>
      <c r="S18" s="2"/>
      <c r="T18" s="2"/>
      <c r="U18" s="2"/>
      <c r="V18" s="2"/>
      <c r="W18" s="2"/>
      <c r="X18" s="2"/>
      <c r="Y18" s="3">
        <v>43.758536332999903</v>
      </c>
      <c r="Z18" s="3">
        <v>43.7692811249999</v>
      </c>
      <c r="AA18" s="3">
        <v>44.248795999999899</v>
      </c>
      <c r="AB18" s="3">
        <v>44.248795999999899</v>
      </c>
      <c r="AC18" s="3">
        <v>44.248795999999899</v>
      </c>
      <c r="AD18" s="2"/>
      <c r="AE18" s="3">
        <v>44.838069667000099</v>
      </c>
      <c r="AF18" s="3" t="s">
        <v>59</v>
      </c>
      <c r="AG18" s="3">
        <v>1</v>
      </c>
      <c r="AH18" s="3">
        <v>0.585580292000486</v>
      </c>
      <c r="AI18" s="3" t="s">
        <v>48</v>
      </c>
      <c r="AJ18" s="2"/>
      <c r="AK18" s="2"/>
      <c r="AL18" s="2"/>
      <c r="AM18" s="2"/>
      <c r="AN18" s="3">
        <v>4</v>
      </c>
      <c r="AO18" s="3">
        <v>1</v>
      </c>
      <c r="AP18" s="3" t="s">
        <v>65</v>
      </c>
      <c r="AQ18" s="3" t="s">
        <v>50</v>
      </c>
      <c r="AR18" s="2"/>
      <c r="AS18" s="3" t="s">
        <v>51</v>
      </c>
      <c r="AT18" s="3">
        <v>120.367240932855</v>
      </c>
      <c r="AU18" s="3" t="s">
        <v>66</v>
      </c>
      <c r="AV18" s="2"/>
    </row>
    <row r="19" spans="1:48" x14ac:dyDescent="0.2">
      <c r="A19" s="1" t="s">
        <v>60</v>
      </c>
      <c r="B19" s="3" t="s">
        <v>54</v>
      </c>
      <c r="C19" s="3" t="s">
        <v>58</v>
      </c>
      <c r="D19" s="3" t="s">
        <v>56</v>
      </c>
      <c r="E19" s="3">
        <v>35</v>
      </c>
      <c r="F19" s="3">
        <v>3</v>
      </c>
      <c r="G19" s="3">
        <v>8</v>
      </c>
      <c r="H19" s="3" t="s">
        <v>56</v>
      </c>
      <c r="I19" s="3">
        <v>1</v>
      </c>
      <c r="J19" s="3">
        <v>0.66488020800079495</v>
      </c>
      <c r="K19" s="3" t="s">
        <v>48</v>
      </c>
      <c r="L19" s="3">
        <v>8</v>
      </c>
      <c r="M19" s="3">
        <v>3</v>
      </c>
      <c r="N19" s="3">
        <v>35</v>
      </c>
      <c r="O19" s="3">
        <v>0</v>
      </c>
      <c r="P19" s="3">
        <v>44.8535708750005</v>
      </c>
      <c r="Q19" s="2"/>
      <c r="R19" s="2"/>
      <c r="S19" s="2"/>
      <c r="T19" s="2"/>
      <c r="U19" s="2"/>
      <c r="V19" s="2"/>
      <c r="W19" s="2"/>
      <c r="X19" s="2"/>
      <c r="Y19" s="3">
        <v>44.843056417000298</v>
      </c>
      <c r="Z19" s="3">
        <v>44.8535708750005</v>
      </c>
      <c r="AA19" s="3">
        <v>45.331516875000503</v>
      </c>
      <c r="AB19" s="3">
        <v>45.331516875000503</v>
      </c>
      <c r="AC19" s="3">
        <v>45.331516875000503</v>
      </c>
      <c r="AD19" s="2"/>
      <c r="AE19" s="3">
        <v>45.998459292</v>
      </c>
      <c r="AF19" s="3" t="s">
        <v>56</v>
      </c>
      <c r="AG19" s="3">
        <v>1</v>
      </c>
      <c r="AH19" s="3">
        <v>0.66488020800079495</v>
      </c>
      <c r="AI19" s="3" t="s">
        <v>48</v>
      </c>
      <c r="AJ19" s="2"/>
      <c r="AK19" s="2"/>
      <c r="AL19" s="2"/>
      <c r="AM19" s="2"/>
      <c r="AN19" s="3">
        <v>4</v>
      </c>
      <c r="AO19" s="3">
        <v>1</v>
      </c>
      <c r="AP19" s="3" t="s">
        <v>65</v>
      </c>
      <c r="AQ19" s="3" t="s">
        <v>50</v>
      </c>
      <c r="AR19" s="2"/>
      <c r="AS19" s="3" t="s">
        <v>51</v>
      </c>
      <c r="AT19" s="3">
        <v>120.367240932855</v>
      </c>
      <c r="AU19" s="3" t="s">
        <v>66</v>
      </c>
      <c r="AV19" s="2"/>
    </row>
    <row r="20" spans="1:48" x14ac:dyDescent="0.2">
      <c r="A20" s="1" t="s">
        <v>53</v>
      </c>
      <c r="B20" s="3" t="s">
        <v>57</v>
      </c>
      <c r="C20" s="3" t="s">
        <v>58</v>
      </c>
      <c r="D20" s="3" t="s">
        <v>59</v>
      </c>
      <c r="E20" s="3">
        <v>36</v>
      </c>
      <c r="F20" s="3">
        <v>0</v>
      </c>
      <c r="G20" s="3">
        <v>9</v>
      </c>
      <c r="H20" s="3" t="s">
        <v>59</v>
      </c>
      <c r="I20" s="3">
        <v>1</v>
      </c>
      <c r="J20" s="3">
        <v>0.63693316599983496</v>
      </c>
      <c r="K20" s="3" t="s">
        <v>48</v>
      </c>
      <c r="L20" s="3">
        <v>9</v>
      </c>
      <c r="M20" s="3">
        <v>0</v>
      </c>
      <c r="N20" s="3">
        <v>36</v>
      </c>
      <c r="O20" s="3">
        <v>3</v>
      </c>
      <c r="P20" s="3">
        <v>46.014910875000197</v>
      </c>
      <c r="Q20" s="2"/>
      <c r="R20" s="2"/>
      <c r="S20" s="2"/>
      <c r="T20" s="2"/>
      <c r="U20" s="2"/>
      <c r="V20" s="2"/>
      <c r="W20" s="2"/>
      <c r="X20" s="2"/>
      <c r="Y20" s="3">
        <v>46.003401625000201</v>
      </c>
      <c r="Z20" s="3">
        <v>46.014910875000197</v>
      </c>
      <c r="AA20" s="3">
        <v>46.496451875000297</v>
      </c>
      <c r="AB20" s="3">
        <v>46.496451875000297</v>
      </c>
      <c r="AC20" s="3">
        <v>46.496451875000297</v>
      </c>
      <c r="AD20" s="2"/>
      <c r="AE20" s="3">
        <v>47.138465042000497</v>
      </c>
      <c r="AF20" s="3" t="s">
        <v>59</v>
      </c>
      <c r="AG20" s="3">
        <v>1</v>
      </c>
      <c r="AH20" s="3">
        <v>0.63693316599983496</v>
      </c>
      <c r="AI20" s="3" t="s">
        <v>48</v>
      </c>
      <c r="AJ20" s="2"/>
      <c r="AK20" s="2"/>
      <c r="AL20" s="2"/>
      <c r="AM20" s="2"/>
      <c r="AN20" s="3">
        <v>4</v>
      </c>
      <c r="AO20" s="3">
        <v>1</v>
      </c>
      <c r="AP20" s="3" t="s">
        <v>65</v>
      </c>
      <c r="AQ20" s="3" t="s">
        <v>50</v>
      </c>
      <c r="AR20" s="2"/>
      <c r="AS20" s="3" t="s">
        <v>51</v>
      </c>
      <c r="AT20" s="3">
        <v>120.367240932855</v>
      </c>
      <c r="AU20" s="3" t="s">
        <v>66</v>
      </c>
      <c r="AV20" s="2"/>
    </row>
    <row r="21" spans="1:48" x14ac:dyDescent="0.2">
      <c r="A21" s="1" t="s">
        <v>60</v>
      </c>
      <c r="B21" s="3" t="s">
        <v>54</v>
      </c>
      <c r="C21" s="3" t="s">
        <v>58</v>
      </c>
      <c r="D21" s="3" t="s">
        <v>56</v>
      </c>
      <c r="E21" s="3">
        <v>38</v>
      </c>
      <c r="F21" s="3">
        <v>2</v>
      </c>
      <c r="G21" s="3">
        <v>9</v>
      </c>
      <c r="H21" s="3" t="s">
        <v>56</v>
      </c>
      <c r="I21" s="3">
        <v>1</v>
      </c>
      <c r="J21" s="3">
        <v>1.51452654200057</v>
      </c>
      <c r="K21" s="3" t="s">
        <v>48</v>
      </c>
      <c r="L21" s="3">
        <v>9</v>
      </c>
      <c r="M21" s="3">
        <v>2</v>
      </c>
      <c r="N21" s="3">
        <v>38</v>
      </c>
      <c r="O21" s="3">
        <v>0</v>
      </c>
      <c r="P21" s="3">
        <v>48.2782756249999</v>
      </c>
      <c r="Q21" s="2"/>
      <c r="R21" s="2"/>
      <c r="S21" s="2"/>
      <c r="T21" s="2"/>
      <c r="U21" s="2"/>
      <c r="V21" s="2"/>
      <c r="W21" s="2"/>
      <c r="X21" s="2"/>
      <c r="Y21" s="3">
        <v>48.2657379170005</v>
      </c>
      <c r="Z21" s="3">
        <v>48.2782756249999</v>
      </c>
      <c r="AA21" s="3">
        <v>48.762917292000601</v>
      </c>
      <c r="AB21" s="3">
        <v>48.762917292000601</v>
      </c>
      <c r="AC21" s="3">
        <v>48.762917292000601</v>
      </c>
      <c r="AD21" s="2"/>
      <c r="AE21" s="3">
        <v>50.281930582999898</v>
      </c>
      <c r="AF21" s="3" t="s">
        <v>56</v>
      </c>
      <c r="AG21" s="3">
        <v>1</v>
      </c>
      <c r="AH21" s="3">
        <v>1.51452654200057</v>
      </c>
      <c r="AI21" s="3" t="s">
        <v>48</v>
      </c>
      <c r="AJ21" s="2"/>
      <c r="AK21" s="2"/>
      <c r="AL21" s="2"/>
      <c r="AM21" s="2"/>
      <c r="AN21" s="3">
        <v>4</v>
      </c>
      <c r="AO21" s="3">
        <v>1</v>
      </c>
      <c r="AP21" s="3" t="s">
        <v>65</v>
      </c>
      <c r="AQ21" s="3" t="s">
        <v>50</v>
      </c>
      <c r="AR21" s="2"/>
      <c r="AS21" s="3" t="s">
        <v>51</v>
      </c>
      <c r="AT21" s="3">
        <v>120.367240932855</v>
      </c>
      <c r="AU21" s="3" t="s">
        <v>66</v>
      </c>
      <c r="AV21" s="2"/>
    </row>
    <row r="22" spans="1:48" x14ac:dyDescent="0.2">
      <c r="A22" s="1" t="s">
        <v>60</v>
      </c>
      <c r="B22" s="3" t="s">
        <v>57</v>
      </c>
      <c r="C22" s="3" t="s">
        <v>55</v>
      </c>
      <c r="D22" s="3" t="s">
        <v>59</v>
      </c>
      <c r="E22" s="3">
        <v>1</v>
      </c>
      <c r="F22" s="3">
        <v>1</v>
      </c>
      <c r="G22" s="3">
        <v>0</v>
      </c>
      <c r="H22" s="3" t="s">
        <v>59</v>
      </c>
      <c r="I22" s="3">
        <v>1</v>
      </c>
      <c r="J22" s="3">
        <v>0.87209620799967502</v>
      </c>
      <c r="K22" s="3" t="s">
        <v>48</v>
      </c>
      <c r="L22" s="3">
        <v>0</v>
      </c>
      <c r="M22" s="3">
        <v>1</v>
      </c>
      <c r="N22" s="3">
        <v>1</v>
      </c>
      <c r="O22" s="3">
        <v>1</v>
      </c>
      <c r="P22" s="3">
        <v>5.4488537500001302</v>
      </c>
      <c r="Q22" s="2"/>
      <c r="R22" s="2"/>
      <c r="S22" s="2"/>
      <c r="T22" s="2"/>
      <c r="U22" s="2"/>
      <c r="V22" s="2"/>
      <c r="W22" s="2"/>
      <c r="X22" s="2"/>
      <c r="Y22" s="3">
        <v>5.4340767499998002</v>
      </c>
      <c r="Z22" s="3">
        <v>5.4488537500001302</v>
      </c>
      <c r="AA22" s="3">
        <v>5.92928158300038</v>
      </c>
      <c r="AB22" s="3">
        <v>5.92928158300038</v>
      </c>
      <c r="AC22" s="3">
        <v>5.92928158300038</v>
      </c>
      <c r="AD22" s="2"/>
      <c r="AE22" s="3">
        <v>6.8042938750004396</v>
      </c>
      <c r="AF22" s="3" t="s">
        <v>59</v>
      </c>
      <c r="AG22" s="3">
        <v>1</v>
      </c>
      <c r="AH22" s="3">
        <v>0.87209620799967502</v>
      </c>
      <c r="AI22" s="3" t="s">
        <v>48</v>
      </c>
      <c r="AJ22" s="2"/>
      <c r="AK22" s="2"/>
      <c r="AL22" s="2"/>
      <c r="AM22" s="2"/>
      <c r="AN22" s="3">
        <v>4</v>
      </c>
      <c r="AO22" s="3">
        <v>1</v>
      </c>
      <c r="AP22" s="3" t="s">
        <v>65</v>
      </c>
      <c r="AQ22" s="3" t="s">
        <v>50</v>
      </c>
      <c r="AR22" s="2"/>
      <c r="AS22" s="3" t="s">
        <v>51</v>
      </c>
      <c r="AT22" s="3">
        <v>120.367240932855</v>
      </c>
      <c r="AU22" s="3" t="s">
        <v>66</v>
      </c>
      <c r="AV22" s="2"/>
    </row>
    <row r="23" spans="1:48" x14ac:dyDescent="0.2">
      <c r="A23" s="1" t="s">
        <v>53</v>
      </c>
      <c r="B23" s="3" t="s">
        <v>54</v>
      </c>
      <c r="C23" s="3" t="s">
        <v>55</v>
      </c>
      <c r="D23" s="3" t="s">
        <v>56</v>
      </c>
      <c r="E23" s="3">
        <v>2</v>
      </c>
      <c r="F23" s="3">
        <v>2</v>
      </c>
      <c r="G23" s="3">
        <v>0</v>
      </c>
      <c r="H23" s="3" t="s">
        <v>56</v>
      </c>
      <c r="I23" s="3">
        <v>1</v>
      </c>
      <c r="J23" s="3">
        <v>0.70921912500034501</v>
      </c>
      <c r="K23" s="3" t="s">
        <v>48</v>
      </c>
      <c r="L23" s="3">
        <v>0</v>
      </c>
      <c r="M23" s="3">
        <v>2</v>
      </c>
      <c r="N23" s="3">
        <v>2</v>
      </c>
      <c r="O23" s="3">
        <v>2</v>
      </c>
      <c r="P23" s="3">
        <v>6.8241873329998297</v>
      </c>
      <c r="Q23" s="2"/>
      <c r="R23" s="2"/>
      <c r="S23" s="2"/>
      <c r="T23" s="2"/>
      <c r="U23" s="2"/>
      <c r="V23" s="2"/>
      <c r="W23" s="2"/>
      <c r="X23" s="2"/>
      <c r="Y23" s="3">
        <v>6.8133536249997597</v>
      </c>
      <c r="Z23" s="3">
        <v>6.8241873329998297</v>
      </c>
      <c r="AA23" s="3">
        <v>7.3130918750002802</v>
      </c>
      <c r="AB23" s="3">
        <v>7.3130918750002802</v>
      </c>
      <c r="AC23" s="3">
        <v>7.3130918750002802</v>
      </c>
      <c r="AD23" s="2"/>
      <c r="AE23" s="3">
        <v>8.0314855000005991</v>
      </c>
      <c r="AF23" s="3" t="s">
        <v>56</v>
      </c>
      <c r="AG23" s="3">
        <v>1</v>
      </c>
      <c r="AH23" s="3">
        <v>0.70921912500034501</v>
      </c>
      <c r="AI23" s="3" t="s">
        <v>48</v>
      </c>
      <c r="AJ23" s="2"/>
      <c r="AK23" s="2"/>
      <c r="AL23" s="2"/>
      <c r="AM23" s="2"/>
      <c r="AN23" s="3">
        <v>4</v>
      </c>
      <c r="AO23" s="3">
        <v>1</v>
      </c>
      <c r="AP23" s="3" t="s">
        <v>65</v>
      </c>
      <c r="AQ23" s="3" t="s">
        <v>50</v>
      </c>
      <c r="AR23" s="2"/>
      <c r="AS23" s="3" t="s">
        <v>51</v>
      </c>
      <c r="AT23" s="3">
        <v>120.367240932855</v>
      </c>
      <c r="AU23" s="3" t="s">
        <v>66</v>
      </c>
      <c r="AV23" s="2"/>
    </row>
    <row r="24" spans="1:48" x14ac:dyDescent="0.2">
      <c r="A24" s="1" t="s">
        <v>53</v>
      </c>
      <c r="B24" s="3" t="s">
        <v>54</v>
      </c>
      <c r="C24" s="3" t="s">
        <v>55</v>
      </c>
      <c r="D24" s="3" t="s">
        <v>56</v>
      </c>
      <c r="E24" s="3">
        <v>5</v>
      </c>
      <c r="F24" s="3">
        <v>1</v>
      </c>
      <c r="G24" s="3">
        <v>1</v>
      </c>
      <c r="H24" s="3" t="s">
        <v>56</v>
      </c>
      <c r="I24" s="3">
        <v>1</v>
      </c>
      <c r="J24" s="3">
        <v>0.62851558300008004</v>
      </c>
      <c r="K24" s="3" t="s">
        <v>48</v>
      </c>
      <c r="L24" s="3">
        <v>1</v>
      </c>
      <c r="M24" s="3">
        <v>1</v>
      </c>
      <c r="N24" s="3">
        <v>5</v>
      </c>
      <c r="O24" s="3">
        <v>2</v>
      </c>
      <c r="P24" s="3">
        <v>10.234448166999799</v>
      </c>
      <c r="Q24" s="2"/>
      <c r="R24" s="2"/>
      <c r="S24" s="2"/>
      <c r="T24" s="2"/>
      <c r="U24" s="2"/>
      <c r="V24" s="2"/>
      <c r="W24" s="2"/>
      <c r="X24" s="2"/>
      <c r="Y24" s="3">
        <v>10.224784292000599</v>
      </c>
      <c r="Z24" s="3">
        <v>10.234448166999799</v>
      </c>
      <c r="AA24" s="3">
        <v>10.712889082999901</v>
      </c>
      <c r="AB24" s="3">
        <v>10.712889082999901</v>
      </c>
      <c r="AC24" s="3">
        <v>10.712889082999901</v>
      </c>
      <c r="AD24" s="2"/>
      <c r="AE24" s="3">
        <v>11.348232708000101</v>
      </c>
      <c r="AF24" s="3" t="s">
        <v>56</v>
      </c>
      <c r="AG24" s="3">
        <v>1</v>
      </c>
      <c r="AH24" s="3">
        <v>0.62851558300008004</v>
      </c>
      <c r="AI24" s="3" t="s">
        <v>48</v>
      </c>
      <c r="AJ24" s="2"/>
      <c r="AK24" s="2"/>
      <c r="AL24" s="2"/>
      <c r="AM24" s="2"/>
      <c r="AN24" s="3">
        <v>4</v>
      </c>
      <c r="AO24" s="3">
        <v>1</v>
      </c>
      <c r="AP24" s="3" t="s">
        <v>65</v>
      </c>
      <c r="AQ24" s="3" t="s">
        <v>50</v>
      </c>
      <c r="AR24" s="2"/>
      <c r="AS24" s="3" t="s">
        <v>51</v>
      </c>
      <c r="AT24" s="3">
        <v>120.367240932855</v>
      </c>
      <c r="AU24" s="3" t="s">
        <v>66</v>
      </c>
      <c r="AV24" s="2"/>
    </row>
    <row r="25" spans="1:48" x14ac:dyDescent="0.2">
      <c r="A25" s="1" t="s">
        <v>60</v>
      </c>
      <c r="B25" s="3" t="s">
        <v>57</v>
      </c>
      <c r="C25" s="3" t="s">
        <v>55</v>
      </c>
      <c r="D25" s="3" t="s">
        <v>59</v>
      </c>
      <c r="E25" s="3">
        <v>6</v>
      </c>
      <c r="F25" s="3">
        <v>2</v>
      </c>
      <c r="G25" s="3">
        <v>1</v>
      </c>
      <c r="H25" s="3" t="s">
        <v>59</v>
      </c>
      <c r="I25" s="3">
        <v>1</v>
      </c>
      <c r="J25" s="3">
        <v>0.38860504200056301</v>
      </c>
      <c r="K25" s="3" t="s">
        <v>48</v>
      </c>
      <c r="L25" s="3">
        <v>1</v>
      </c>
      <c r="M25" s="3">
        <v>2</v>
      </c>
      <c r="N25" s="3">
        <v>6</v>
      </c>
      <c r="O25" s="3">
        <v>1</v>
      </c>
      <c r="P25" s="3">
        <v>11.378836542000499</v>
      </c>
      <c r="Q25" s="2"/>
      <c r="R25" s="2"/>
      <c r="S25" s="2"/>
      <c r="T25" s="2"/>
      <c r="U25" s="2"/>
      <c r="V25" s="2"/>
      <c r="W25" s="2"/>
      <c r="X25" s="2"/>
      <c r="Y25" s="3">
        <v>11.3541132079999</v>
      </c>
      <c r="Z25" s="3">
        <v>11.378836542000499</v>
      </c>
      <c r="AA25" s="3">
        <v>11.8458345420004</v>
      </c>
      <c r="AB25" s="3">
        <v>11.8458345420004</v>
      </c>
      <c r="AC25" s="3">
        <v>11.8458345420004</v>
      </c>
      <c r="AD25" s="2"/>
      <c r="AE25" s="3">
        <v>12.2383416250004</v>
      </c>
      <c r="AF25" s="3" t="s">
        <v>59</v>
      </c>
      <c r="AG25" s="3">
        <v>1</v>
      </c>
      <c r="AH25" s="3">
        <v>0.38860504200056301</v>
      </c>
      <c r="AI25" s="3" t="s">
        <v>48</v>
      </c>
      <c r="AJ25" s="2"/>
      <c r="AK25" s="2"/>
      <c r="AL25" s="2"/>
      <c r="AM25" s="2"/>
      <c r="AN25" s="3">
        <v>4</v>
      </c>
      <c r="AO25" s="3">
        <v>1</v>
      </c>
      <c r="AP25" s="3" t="s">
        <v>65</v>
      </c>
      <c r="AQ25" s="3" t="s">
        <v>50</v>
      </c>
      <c r="AR25" s="2"/>
      <c r="AS25" s="3" t="s">
        <v>51</v>
      </c>
      <c r="AT25" s="3">
        <v>120.367240932855</v>
      </c>
      <c r="AU25" s="3" t="s">
        <v>66</v>
      </c>
      <c r="AV25" s="2"/>
    </row>
    <row r="26" spans="1:48" x14ac:dyDescent="0.2">
      <c r="A26" s="1" t="s">
        <v>60</v>
      </c>
      <c r="B26" s="3" t="s">
        <v>57</v>
      </c>
      <c r="C26" s="3" t="s">
        <v>55</v>
      </c>
      <c r="D26" s="3" t="s">
        <v>59</v>
      </c>
      <c r="E26" s="3">
        <v>9</v>
      </c>
      <c r="F26" s="3">
        <v>1</v>
      </c>
      <c r="G26" s="3">
        <v>2</v>
      </c>
      <c r="H26" s="3" t="s">
        <v>59</v>
      </c>
      <c r="I26" s="3">
        <v>1</v>
      </c>
      <c r="J26" s="3">
        <v>0.52286158300012198</v>
      </c>
      <c r="K26" s="3" t="s">
        <v>48</v>
      </c>
      <c r="L26" s="3">
        <v>2</v>
      </c>
      <c r="M26" s="3">
        <v>1</v>
      </c>
      <c r="N26" s="3">
        <v>9</v>
      </c>
      <c r="O26" s="3">
        <v>1</v>
      </c>
      <c r="P26" s="3">
        <v>14.131142500000401</v>
      </c>
      <c r="Q26" s="2"/>
      <c r="R26" s="2"/>
      <c r="S26" s="2"/>
      <c r="T26" s="2"/>
      <c r="U26" s="2"/>
      <c r="V26" s="2"/>
      <c r="W26" s="2"/>
      <c r="X26" s="2"/>
      <c r="Y26" s="3">
        <v>14.119823</v>
      </c>
      <c r="Z26" s="3">
        <v>14.131142500000401</v>
      </c>
      <c r="AA26" s="3">
        <v>14.6125910000001</v>
      </c>
      <c r="AB26" s="3">
        <v>14.6125910000001</v>
      </c>
      <c r="AC26" s="3">
        <v>14.6125910000001</v>
      </c>
      <c r="AD26" s="2"/>
      <c r="AE26" s="3">
        <v>15.137178208000501</v>
      </c>
      <c r="AF26" s="3" t="s">
        <v>59</v>
      </c>
      <c r="AG26" s="3">
        <v>1</v>
      </c>
      <c r="AH26" s="3">
        <v>0.52286158300012198</v>
      </c>
      <c r="AI26" s="3" t="s">
        <v>48</v>
      </c>
      <c r="AJ26" s="2"/>
      <c r="AK26" s="2"/>
      <c r="AL26" s="2"/>
      <c r="AM26" s="2"/>
      <c r="AN26" s="3">
        <v>4</v>
      </c>
      <c r="AO26" s="3">
        <v>1</v>
      </c>
      <c r="AP26" s="3" t="s">
        <v>65</v>
      </c>
      <c r="AQ26" s="3" t="s">
        <v>50</v>
      </c>
      <c r="AR26" s="2"/>
      <c r="AS26" s="3" t="s">
        <v>51</v>
      </c>
      <c r="AT26" s="3">
        <v>120.367240932855</v>
      </c>
      <c r="AU26" s="3" t="s">
        <v>66</v>
      </c>
      <c r="AV26" s="2"/>
    </row>
    <row r="27" spans="1:48" x14ac:dyDescent="0.2">
      <c r="A27" s="1" t="s">
        <v>53</v>
      </c>
      <c r="B27" s="3" t="s">
        <v>54</v>
      </c>
      <c r="C27" s="3" t="s">
        <v>55</v>
      </c>
      <c r="D27" s="3" t="s">
        <v>56</v>
      </c>
      <c r="E27" s="3">
        <v>10</v>
      </c>
      <c r="F27" s="3">
        <v>2</v>
      </c>
      <c r="G27" s="3">
        <v>2</v>
      </c>
      <c r="H27" s="3" t="s">
        <v>56</v>
      </c>
      <c r="I27" s="3">
        <v>1</v>
      </c>
      <c r="J27" s="3">
        <v>0.45311737399970298</v>
      </c>
      <c r="K27" s="3" t="s">
        <v>48</v>
      </c>
      <c r="L27" s="3">
        <v>2</v>
      </c>
      <c r="M27" s="3">
        <v>2</v>
      </c>
      <c r="N27" s="3">
        <v>10</v>
      </c>
      <c r="O27" s="3">
        <v>2</v>
      </c>
      <c r="P27" s="3">
        <v>15.1521627080001</v>
      </c>
      <c r="Q27" s="2"/>
      <c r="R27" s="2"/>
      <c r="S27" s="2"/>
      <c r="T27" s="2"/>
      <c r="U27" s="2"/>
      <c r="V27" s="2"/>
      <c r="W27" s="2"/>
      <c r="X27" s="2"/>
      <c r="Y27" s="3">
        <v>15.1414919580002</v>
      </c>
      <c r="Z27" s="3">
        <v>15.1521627080001</v>
      </c>
      <c r="AA27" s="3">
        <v>15.6292112500005</v>
      </c>
      <c r="AB27" s="3">
        <v>15.6292112500005</v>
      </c>
      <c r="AC27" s="3">
        <v>15.6292112500005</v>
      </c>
      <c r="AD27" s="2"/>
      <c r="AE27" s="3">
        <v>16.087636000000199</v>
      </c>
      <c r="AF27" s="3" t="s">
        <v>56</v>
      </c>
      <c r="AG27" s="3">
        <v>1</v>
      </c>
      <c r="AH27" s="3">
        <v>0.45311737399970298</v>
      </c>
      <c r="AI27" s="3" t="s">
        <v>48</v>
      </c>
      <c r="AJ27" s="2"/>
      <c r="AK27" s="2"/>
      <c r="AL27" s="2"/>
      <c r="AM27" s="2"/>
      <c r="AN27" s="3">
        <v>4</v>
      </c>
      <c r="AO27" s="3">
        <v>1</v>
      </c>
      <c r="AP27" s="3" t="s">
        <v>65</v>
      </c>
      <c r="AQ27" s="3" t="s">
        <v>50</v>
      </c>
      <c r="AR27" s="2"/>
      <c r="AS27" s="3" t="s">
        <v>51</v>
      </c>
      <c r="AT27" s="3">
        <v>120.367240932855</v>
      </c>
      <c r="AU27" s="3" t="s">
        <v>66</v>
      </c>
      <c r="AV27" s="2"/>
    </row>
    <row r="28" spans="1:48" x14ac:dyDescent="0.2">
      <c r="A28" s="1" t="s">
        <v>60</v>
      </c>
      <c r="B28" s="3" t="s">
        <v>57</v>
      </c>
      <c r="C28" s="3" t="s">
        <v>55</v>
      </c>
      <c r="D28" s="3" t="s">
        <v>59</v>
      </c>
      <c r="E28" s="3">
        <v>12</v>
      </c>
      <c r="F28" s="3">
        <v>0</v>
      </c>
      <c r="G28" s="3">
        <v>3</v>
      </c>
      <c r="H28" s="3" t="s">
        <v>59</v>
      </c>
      <c r="I28" s="3">
        <v>1</v>
      </c>
      <c r="J28" s="3">
        <v>0.46563487399998899</v>
      </c>
      <c r="K28" s="3" t="s">
        <v>48</v>
      </c>
      <c r="L28" s="3">
        <v>3</v>
      </c>
      <c r="M28" s="3">
        <v>0</v>
      </c>
      <c r="N28" s="3">
        <v>12</v>
      </c>
      <c r="O28" s="3">
        <v>1</v>
      </c>
      <c r="P28" s="3">
        <v>16.9621630000001</v>
      </c>
      <c r="Q28" s="2"/>
      <c r="R28" s="2"/>
      <c r="S28" s="2"/>
      <c r="T28" s="2"/>
      <c r="U28" s="2"/>
      <c r="V28" s="2"/>
      <c r="W28" s="2"/>
      <c r="X28" s="2"/>
      <c r="Y28" s="3">
        <v>16.949404750000198</v>
      </c>
      <c r="Z28" s="3">
        <v>16.9621630000001</v>
      </c>
      <c r="AA28" s="3">
        <v>17.445770750000499</v>
      </c>
      <c r="AB28" s="3">
        <v>17.445770750000499</v>
      </c>
      <c r="AC28" s="3">
        <v>17.445770750000499</v>
      </c>
      <c r="AD28" s="2"/>
      <c r="AE28" s="3">
        <v>17.9144808749998</v>
      </c>
      <c r="AF28" s="3" t="s">
        <v>59</v>
      </c>
      <c r="AG28" s="3">
        <v>1</v>
      </c>
      <c r="AH28" s="3">
        <v>0.46563487399998899</v>
      </c>
      <c r="AI28" s="3" t="s">
        <v>48</v>
      </c>
      <c r="AJ28" s="2"/>
      <c r="AK28" s="2"/>
      <c r="AL28" s="2"/>
      <c r="AM28" s="2"/>
      <c r="AN28" s="3">
        <v>4</v>
      </c>
      <c r="AO28" s="3">
        <v>1</v>
      </c>
      <c r="AP28" s="3" t="s">
        <v>65</v>
      </c>
      <c r="AQ28" s="3" t="s">
        <v>50</v>
      </c>
      <c r="AR28" s="2"/>
      <c r="AS28" s="3" t="s">
        <v>51</v>
      </c>
      <c r="AT28" s="3">
        <v>120.367240932855</v>
      </c>
      <c r="AU28" s="3" t="s">
        <v>66</v>
      </c>
      <c r="AV28" s="2"/>
    </row>
    <row r="29" spans="1:48" x14ac:dyDescent="0.2">
      <c r="A29" s="1" t="s">
        <v>53</v>
      </c>
      <c r="B29" s="3" t="s">
        <v>54</v>
      </c>
      <c r="C29" s="3" t="s">
        <v>55</v>
      </c>
      <c r="D29" s="3" t="s">
        <v>56</v>
      </c>
      <c r="E29" s="3">
        <v>14</v>
      </c>
      <c r="F29" s="3">
        <v>2</v>
      </c>
      <c r="G29" s="3">
        <v>3</v>
      </c>
      <c r="H29" s="3" t="s">
        <v>56</v>
      </c>
      <c r="I29" s="3">
        <v>1</v>
      </c>
      <c r="J29" s="3">
        <v>0.54747833300007198</v>
      </c>
      <c r="K29" s="3" t="s">
        <v>48</v>
      </c>
      <c r="L29" s="3">
        <v>3</v>
      </c>
      <c r="M29" s="3">
        <v>2</v>
      </c>
      <c r="N29" s="3">
        <v>14</v>
      </c>
      <c r="O29" s="3">
        <v>2</v>
      </c>
      <c r="P29" s="3">
        <v>18.7823381670005</v>
      </c>
      <c r="Q29" s="2"/>
      <c r="R29" s="2"/>
      <c r="S29" s="2"/>
      <c r="T29" s="2"/>
      <c r="U29" s="2"/>
      <c r="V29" s="2"/>
      <c r="W29" s="2"/>
      <c r="X29" s="2"/>
      <c r="Y29" s="3">
        <v>18.769999125000101</v>
      </c>
      <c r="Z29" s="3">
        <v>18.7823381670005</v>
      </c>
      <c r="AA29" s="3">
        <v>19.279893333000501</v>
      </c>
      <c r="AB29" s="3">
        <v>19.279893333000501</v>
      </c>
      <c r="AC29" s="3">
        <v>19.279893333000501</v>
      </c>
      <c r="AD29" s="2"/>
      <c r="AE29" s="3">
        <v>19.831644792000599</v>
      </c>
      <c r="AF29" s="3" t="s">
        <v>56</v>
      </c>
      <c r="AG29" s="3">
        <v>1</v>
      </c>
      <c r="AH29" s="3">
        <v>0.54747833300007198</v>
      </c>
      <c r="AI29" s="3" t="s">
        <v>48</v>
      </c>
      <c r="AJ29" s="2"/>
      <c r="AK29" s="2"/>
      <c r="AL29" s="2"/>
      <c r="AM29" s="2"/>
      <c r="AN29" s="3">
        <v>4</v>
      </c>
      <c r="AO29" s="3">
        <v>1</v>
      </c>
      <c r="AP29" s="3" t="s">
        <v>65</v>
      </c>
      <c r="AQ29" s="3" t="s">
        <v>50</v>
      </c>
      <c r="AR29" s="2"/>
      <c r="AS29" s="3" t="s">
        <v>51</v>
      </c>
      <c r="AT29" s="3">
        <v>120.367240932855</v>
      </c>
      <c r="AU29" s="3" t="s">
        <v>66</v>
      </c>
      <c r="AV29" s="2"/>
    </row>
    <row r="30" spans="1:48" x14ac:dyDescent="0.2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/>
      <c r="R30" s="2"/>
      <c r="S30" s="2"/>
      <c r="T30" s="2"/>
      <c r="U30" s="2"/>
      <c r="V30" s="2"/>
      <c r="W30" s="2"/>
      <c r="X30" s="2"/>
      <c r="Y30" s="3"/>
      <c r="Z30" s="3"/>
      <c r="AA30" s="3"/>
      <c r="AB30" s="3"/>
      <c r="AC30" s="3"/>
      <c r="AD30" s="2"/>
      <c r="AE30" s="3"/>
      <c r="AF30" s="3"/>
      <c r="AG30" s="3"/>
      <c r="AH30" s="3"/>
      <c r="AI30" s="3"/>
      <c r="AJ30" s="2"/>
      <c r="AK30" s="2"/>
      <c r="AL30" s="2"/>
      <c r="AM30" s="2"/>
      <c r="AN30" s="3"/>
      <c r="AO30" s="3"/>
      <c r="AP30" s="3"/>
      <c r="AQ30" s="3"/>
      <c r="AR30" s="2"/>
      <c r="AS30" s="3"/>
      <c r="AT30" s="3"/>
      <c r="AU30" s="3"/>
      <c r="AV30" s="2"/>
    </row>
    <row r="31" spans="1:48" x14ac:dyDescent="0.2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/>
      <c r="R31" s="2"/>
      <c r="S31" s="2"/>
      <c r="T31" s="2"/>
      <c r="U31" s="2"/>
      <c r="V31" s="2"/>
      <c r="W31" s="2"/>
      <c r="X31" s="2"/>
      <c r="Y31" s="3"/>
      <c r="Z31" s="3"/>
      <c r="AA31" s="3"/>
      <c r="AB31" s="3"/>
      <c r="AC31" s="3"/>
      <c r="AD31" s="2"/>
      <c r="AE31" s="3"/>
      <c r="AF31" s="3"/>
      <c r="AG31" s="3"/>
      <c r="AH31" s="3"/>
      <c r="AI31" s="3"/>
      <c r="AJ31" s="2"/>
      <c r="AK31" s="2"/>
      <c r="AL31" s="2"/>
      <c r="AM31" s="2"/>
      <c r="AN31" s="3"/>
      <c r="AO31" s="3"/>
      <c r="AP31" s="3"/>
      <c r="AQ31" s="3"/>
      <c r="AR31" s="2"/>
      <c r="AS31" s="3"/>
      <c r="AT31" s="3"/>
      <c r="AU31" s="3"/>
      <c r="AV31" s="2"/>
    </row>
    <row r="32" spans="1:48" x14ac:dyDescent="0.2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2"/>
      <c r="R32" s="2"/>
      <c r="S32" s="2"/>
      <c r="T32" s="2"/>
      <c r="U32" s="2"/>
      <c r="V32" s="2"/>
      <c r="W32" s="2"/>
      <c r="X32" s="2"/>
      <c r="Y32" s="3"/>
      <c r="Z32" s="3"/>
      <c r="AA32" s="3"/>
      <c r="AB32" s="3"/>
      <c r="AC32" s="3"/>
      <c r="AD32" s="2"/>
      <c r="AE32" s="3"/>
      <c r="AF32" s="3"/>
      <c r="AG32" s="3"/>
      <c r="AH32" s="3"/>
      <c r="AI32" s="3"/>
      <c r="AJ32" s="2"/>
      <c r="AK32" s="2"/>
      <c r="AL32" s="2"/>
      <c r="AM32" s="2"/>
      <c r="AN32" s="3"/>
      <c r="AO32" s="3"/>
      <c r="AP32" s="3"/>
      <c r="AQ32" s="3"/>
      <c r="AR32" s="2"/>
      <c r="AS32" s="3"/>
      <c r="AT32" s="3"/>
      <c r="AU32" s="3"/>
      <c r="AV32" s="2"/>
    </row>
    <row r="33" spans="1:48" x14ac:dyDescent="0.2">
      <c r="A33" s="1" t="s">
        <v>60</v>
      </c>
      <c r="B33" s="3" t="s">
        <v>57</v>
      </c>
      <c r="C33" s="3" t="s">
        <v>55</v>
      </c>
      <c r="D33" s="3" t="s">
        <v>59</v>
      </c>
      <c r="E33" s="3">
        <v>22</v>
      </c>
      <c r="F33" s="3">
        <v>2</v>
      </c>
      <c r="G33" s="3">
        <v>5</v>
      </c>
      <c r="H33" s="3" t="s">
        <v>59</v>
      </c>
      <c r="I33" s="3">
        <v>1</v>
      </c>
      <c r="J33" s="3">
        <v>1.0437083739998301</v>
      </c>
      <c r="K33" s="3" t="s">
        <v>48</v>
      </c>
      <c r="L33" s="3">
        <v>5</v>
      </c>
      <c r="M33" s="3">
        <v>2</v>
      </c>
      <c r="N33" s="3">
        <v>22</v>
      </c>
      <c r="O33" s="3">
        <v>1</v>
      </c>
      <c r="P33" s="3">
        <v>27.981413000000401</v>
      </c>
      <c r="Q33" s="2"/>
      <c r="R33" s="2"/>
      <c r="S33" s="2"/>
      <c r="T33" s="2"/>
      <c r="U33" s="2"/>
      <c r="V33" s="2"/>
      <c r="W33" s="2"/>
      <c r="X33" s="2"/>
      <c r="Y33" s="3">
        <v>27.9700571670001</v>
      </c>
      <c r="Z33" s="3">
        <v>27.981413000000401</v>
      </c>
      <c r="AA33" s="3">
        <v>28.479607207999798</v>
      </c>
      <c r="AB33" s="3">
        <v>28.479607207999798</v>
      </c>
      <c r="AC33" s="3">
        <v>28.479607207999798</v>
      </c>
      <c r="AD33" s="2"/>
      <c r="AE33" s="3">
        <v>29.532027708000001</v>
      </c>
      <c r="AF33" s="3" t="s">
        <v>59</v>
      </c>
      <c r="AG33" s="3">
        <v>1</v>
      </c>
      <c r="AH33" s="3">
        <v>1.0437083739998301</v>
      </c>
      <c r="AI33" s="3" t="s">
        <v>48</v>
      </c>
      <c r="AJ33" s="2"/>
      <c r="AK33" s="2"/>
      <c r="AL33" s="2"/>
      <c r="AM33" s="2"/>
      <c r="AN33" s="3">
        <v>4</v>
      </c>
      <c r="AO33" s="3">
        <v>1</v>
      </c>
      <c r="AP33" s="3" t="s">
        <v>65</v>
      </c>
      <c r="AQ33" s="3" t="s">
        <v>50</v>
      </c>
      <c r="AR33" s="2"/>
      <c r="AS33" s="3" t="s">
        <v>51</v>
      </c>
      <c r="AT33" s="3">
        <v>120.367240932855</v>
      </c>
      <c r="AU33" s="3" t="s">
        <v>66</v>
      </c>
      <c r="AV33" s="2"/>
    </row>
    <row r="34" spans="1:48" x14ac:dyDescent="0.2">
      <c r="A34" s="1" t="s">
        <v>53</v>
      </c>
      <c r="B34" s="3" t="s">
        <v>54</v>
      </c>
      <c r="C34" s="3" t="s">
        <v>55</v>
      </c>
      <c r="D34" s="3" t="s">
        <v>56</v>
      </c>
      <c r="E34" s="3">
        <v>25</v>
      </c>
      <c r="F34" s="3">
        <v>1</v>
      </c>
      <c r="G34" s="3">
        <v>6</v>
      </c>
      <c r="H34" s="3" t="s">
        <v>56</v>
      </c>
      <c r="I34" s="3">
        <v>1</v>
      </c>
      <c r="J34" s="3">
        <v>0.55317958300020098</v>
      </c>
      <c r="K34" s="3" t="s">
        <v>48</v>
      </c>
      <c r="L34" s="3">
        <v>6</v>
      </c>
      <c r="M34" s="3">
        <v>1</v>
      </c>
      <c r="N34" s="3">
        <v>25</v>
      </c>
      <c r="O34" s="3">
        <v>2</v>
      </c>
      <c r="P34" s="3">
        <v>31.467864667000001</v>
      </c>
      <c r="Q34" s="2"/>
      <c r="R34" s="2"/>
      <c r="S34" s="2"/>
      <c r="T34" s="2"/>
      <c r="U34" s="2"/>
      <c r="V34" s="2"/>
      <c r="W34" s="2"/>
      <c r="X34" s="2"/>
      <c r="Y34" s="3">
        <v>31.455204417000498</v>
      </c>
      <c r="Z34" s="3">
        <v>31.467864667000001</v>
      </c>
      <c r="AA34" s="3">
        <v>31.946186832999999</v>
      </c>
      <c r="AB34" s="3">
        <v>31.946186832999999</v>
      </c>
      <c r="AC34" s="3">
        <v>31.946186832999999</v>
      </c>
      <c r="AD34" s="2"/>
      <c r="AE34" s="3">
        <v>32.504762208000102</v>
      </c>
      <c r="AF34" s="3" t="s">
        <v>56</v>
      </c>
      <c r="AG34" s="3">
        <v>1</v>
      </c>
      <c r="AH34" s="3">
        <v>0.55317958300020098</v>
      </c>
      <c r="AI34" s="3" t="s">
        <v>48</v>
      </c>
      <c r="AJ34" s="2"/>
      <c r="AK34" s="2"/>
      <c r="AL34" s="2"/>
      <c r="AM34" s="2"/>
      <c r="AN34" s="3">
        <v>4</v>
      </c>
      <c r="AO34" s="3">
        <v>1</v>
      </c>
      <c r="AP34" s="3" t="s">
        <v>65</v>
      </c>
      <c r="AQ34" s="3" t="s">
        <v>50</v>
      </c>
      <c r="AR34" s="2"/>
      <c r="AS34" s="3" t="s">
        <v>51</v>
      </c>
      <c r="AT34" s="3">
        <v>120.367240932855</v>
      </c>
      <c r="AU34" s="3" t="s">
        <v>66</v>
      </c>
      <c r="AV34" s="2"/>
    </row>
    <row r="35" spans="1:48" x14ac:dyDescent="0.2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2"/>
      <c r="R35" s="2"/>
      <c r="S35" s="2"/>
      <c r="T35" s="2"/>
      <c r="U35" s="2"/>
      <c r="V35" s="2"/>
      <c r="W35" s="2"/>
      <c r="X35" s="2"/>
      <c r="Y35" s="3"/>
      <c r="Z35" s="3"/>
      <c r="AA35" s="3"/>
      <c r="AB35" s="3"/>
      <c r="AC35" s="3"/>
      <c r="AD35" s="2"/>
      <c r="AE35" s="3"/>
      <c r="AF35" s="3"/>
      <c r="AG35" s="3"/>
      <c r="AH35" s="3"/>
      <c r="AI35" s="3"/>
      <c r="AJ35" s="2"/>
      <c r="AK35" s="2"/>
      <c r="AL35" s="2"/>
      <c r="AM35" s="2"/>
      <c r="AN35" s="3"/>
      <c r="AO35" s="3"/>
      <c r="AP35" s="3"/>
      <c r="AQ35" s="3"/>
      <c r="AR35" s="2"/>
      <c r="AS35" s="3"/>
      <c r="AT35" s="3"/>
      <c r="AU35" s="3"/>
      <c r="AV35" s="2"/>
    </row>
    <row r="36" spans="1:48" x14ac:dyDescent="0.2">
      <c r="A36" s="1" t="s">
        <v>60</v>
      </c>
      <c r="B36" s="3" t="s">
        <v>57</v>
      </c>
      <c r="C36" s="3" t="s">
        <v>55</v>
      </c>
      <c r="D36" s="3" t="s">
        <v>59</v>
      </c>
      <c r="E36" s="3">
        <v>30</v>
      </c>
      <c r="F36" s="3">
        <v>2</v>
      </c>
      <c r="G36" s="3">
        <v>7</v>
      </c>
      <c r="H36" s="3" t="s">
        <v>59</v>
      </c>
      <c r="I36" s="3">
        <v>1</v>
      </c>
      <c r="J36" s="3">
        <v>0.52267995799957101</v>
      </c>
      <c r="K36" s="3" t="s">
        <v>48</v>
      </c>
      <c r="L36" s="3">
        <v>7</v>
      </c>
      <c r="M36" s="3">
        <v>2</v>
      </c>
      <c r="N36" s="3">
        <v>30</v>
      </c>
      <c r="O36" s="3">
        <v>1</v>
      </c>
      <c r="P36" s="3">
        <v>38.2349263750002</v>
      </c>
      <c r="Q36" s="2"/>
      <c r="R36" s="2"/>
      <c r="S36" s="2"/>
      <c r="T36" s="2"/>
      <c r="U36" s="2"/>
      <c r="V36" s="2"/>
      <c r="W36" s="2"/>
      <c r="X36" s="2"/>
      <c r="Y36" s="3">
        <v>38.2250562500003</v>
      </c>
      <c r="Z36" s="3">
        <v>38.2349263750002</v>
      </c>
      <c r="AA36" s="3">
        <v>38.721661417000199</v>
      </c>
      <c r="AB36" s="3">
        <v>38.721661417000199</v>
      </c>
      <c r="AC36" s="3">
        <v>38.721661417000199</v>
      </c>
      <c r="AD36" s="2"/>
      <c r="AE36" s="3">
        <v>39.247932792</v>
      </c>
      <c r="AF36" s="3" t="s">
        <v>59</v>
      </c>
      <c r="AG36" s="3">
        <v>1</v>
      </c>
      <c r="AH36" s="3">
        <v>0.52267995799957101</v>
      </c>
      <c r="AI36" s="3" t="s">
        <v>48</v>
      </c>
      <c r="AJ36" s="2"/>
      <c r="AK36" s="2"/>
      <c r="AL36" s="2"/>
      <c r="AM36" s="2"/>
      <c r="AN36" s="3">
        <v>4</v>
      </c>
      <c r="AO36" s="3">
        <v>1</v>
      </c>
      <c r="AP36" s="3" t="s">
        <v>65</v>
      </c>
      <c r="AQ36" s="3" t="s">
        <v>50</v>
      </c>
      <c r="AR36" s="2"/>
      <c r="AS36" s="3" t="s">
        <v>51</v>
      </c>
      <c r="AT36" s="3">
        <v>120.367240932855</v>
      </c>
      <c r="AU36" s="3" t="s">
        <v>66</v>
      </c>
      <c r="AV36" s="2"/>
    </row>
    <row r="37" spans="1:48" x14ac:dyDescent="0.2">
      <c r="A37" s="1" t="s">
        <v>53</v>
      </c>
      <c r="B37" s="3" t="s">
        <v>54</v>
      </c>
      <c r="C37" s="3" t="s">
        <v>55</v>
      </c>
      <c r="D37" s="3" t="s">
        <v>56</v>
      </c>
      <c r="E37" s="3">
        <v>31</v>
      </c>
      <c r="F37" s="3">
        <v>3</v>
      </c>
      <c r="G37" s="3">
        <v>7</v>
      </c>
      <c r="H37" s="3" t="s">
        <v>56</v>
      </c>
      <c r="I37" s="3">
        <v>1</v>
      </c>
      <c r="J37" s="3">
        <v>0.59308375000000502</v>
      </c>
      <c r="K37" s="3" t="s">
        <v>48</v>
      </c>
      <c r="L37" s="3">
        <v>7</v>
      </c>
      <c r="M37" s="3">
        <v>3</v>
      </c>
      <c r="N37" s="3">
        <v>31</v>
      </c>
      <c r="O37" s="3">
        <v>2</v>
      </c>
      <c r="P37" s="3">
        <v>39.263394583000299</v>
      </c>
      <c r="Q37" s="2"/>
      <c r="R37" s="2"/>
      <c r="S37" s="2"/>
      <c r="T37" s="2"/>
      <c r="U37" s="2"/>
      <c r="V37" s="2"/>
      <c r="W37" s="2"/>
      <c r="X37" s="2"/>
      <c r="Y37" s="3">
        <v>39.252515042000603</v>
      </c>
      <c r="Z37" s="3">
        <v>39.263394583000299</v>
      </c>
      <c r="AA37" s="3">
        <v>39.746150042000401</v>
      </c>
      <c r="AB37" s="3">
        <v>39.746150042000401</v>
      </c>
      <c r="AC37" s="3">
        <v>39.746150042000401</v>
      </c>
      <c r="AD37" s="2"/>
      <c r="AE37" s="3">
        <v>40.348273708000299</v>
      </c>
      <c r="AF37" s="3" t="s">
        <v>56</v>
      </c>
      <c r="AG37" s="3">
        <v>1</v>
      </c>
      <c r="AH37" s="3">
        <v>0.59308375000000502</v>
      </c>
      <c r="AI37" s="3" t="s">
        <v>48</v>
      </c>
      <c r="AJ37" s="2"/>
      <c r="AK37" s="2"/>
      <c r="AL37" s="2"/>
      <c r="AM37" s="2"/>
      <c r="AN37" s="3">
        <v>4</v>
      </c>
      <c r="AO37" s="3">
        <v>1</v>
      </c>
      <c r="AP37" s="3" t="s">
        <v>65</v>
      </c>
      <c r="AQ37" s="3" t="s">
        <v>50</v>
      </c>
      <c r="AR37" s="2"/>
      <c r="AS37" s="3" t="s">
        <v>51</v>
      </c>
      <c r="AT37" s="3">
        <v>120.367240932855</v>
      </c>
      <c r="AU37" s="3" t="s">
        <v>66</v>
      </c>
      <c r="AV37" s="2"/>
    </row>
    <row r="38" spans="1:48" x14ac:dyDescent="0.2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2"/>
      <c r="R38" s="2"/>
      <c r="S38" s="2"/>
      <c r="T38" s="2"/>
      <c r="U38" s="2"/>
      <c r="V38" s="2"/>
      <c r="W38" s="2"/>
      <c r="X38" s="2"/>
      <c r="Y38" s="3"/>
      <c r="Z38" s="3"/>
      <c r="AA38" s="3"/>
      <c r="AB38" s="3"/>
      <c r="AC38" s="3"/>
      <c r="AD38" s="2"/>
      <c r="AE38" s="3"/>
      <c r="AF38" s="3"/>
      <c r="AG38" s="3"/>
      <c r="AH38" s="3"/>
      <c r="AI38" s="3"/>
      <c r="AJ38" s="2"/>
      <c r="AK38" s="2"/>
      <c r="AL38" s="2"/>
      <c r="AM38" s="2"/>
      <c r="AN38" s="3"/>
      <c r="AO38" s="3"/>
      <c r="AP38" s="3"/>
      <c r="AQ38" s="3"/>
      <c r="AR38" s="2"/>
      <c r="AS38" s="3"/>
      <c r="AT38" s="3"/>
      <c r="AU38" s="3"/>
      <c r="AV38" s="2"/>
    </row>
    <row r="39" spans="1:48" x14ac:dyDescent="0.2">
      <c r="A39" s="1" t="s">
        <v>60</v>
      </c>
      <c r="B39" s="3" t="s">
        <v>57</v>
      </c>
      <c r="C39" s="3" t="s">
        <v>55</v>
      </c>
      <c r="D39" s="3" t="s">
        <v>59</v>
      </c>
      <c r="E39" s="3">
        <v>33</v>
      </c>
      <c r="F39" s="3">
        <v>1</v>
      </c>
      <c r="G39" s="3">
        <v>8</v>
      </c>
      <c r="H39" s="3" t="s">
        <v>59</v>
      </c>
      <c r="I39" s="3">
        <v>1</v>
      </c>
      <c r="J39" s="3">
        <v>1.4371789999995599</v>
      </c>
      <c r="K39" s="3" t="s">
        <v>48</v>
      </c>
      <c r="L39" s="3">
        <v>8</v>
      </c>
      <c r="M39" s="3">
        <v>1</v>
      </c>
      <c r="N39" s="3">
        <v>33</v>
      </c>
      <c r="O39" s="3">
        <v>1</v>
      </c>
      <c r="P39" s="3">
        <v>41.816482625000397</v>
      </c>
      <c r="Q39" s="2"/>
      <c r="R39" s="2"/>
      <c r="S39" s="2"/>
      <c r="T39" s="2"/>
      <c r="U39" s="2"/>
      <c r="V39" s="2"/>
      <c r="W39" s="2"/>
      <c r="X39" s="2"/>
      <c r="Y39" s="3">
        <v>41.805011708000201</v>
      </c>
      <c r="Z39" s="3">
        <v>41.816482625000397</v>
      </c>
      <c r="AA39" s="3">
        <v>42.313114000000503</v>
      </c>
      <c r="AB39" s="3">
        <v>42.313114000000503</v>
      </c>
      <c r="AC39" s="3">
        <v>42.313114000000503</v>
      </c>
      <c r="AD39" s="2"/>
      <c r="AE39" s="3">
        <v>43.754085624999803</v>
      </c>
      <c r="AF39" s="3" t="s">
        <v>59</v>
      </c>
      <c r="AG39" s="3">
        <v>1</v>
      </c>
      <c r="AH39" s="3">
        <v>1.4371789999995599</v>
      </c>
      <c r="AI39" s="3" t="s">
        <v>48</v>
      </c>
      <c r="AJ39" s="2"/>
      <c r="AK39" s="2"/>
      <c r="AL39" s="2"/>
      <c r="AM39" s="2"/>
      <c r="AN39" s="3">
        <v>4</v>
      </c>
      <c r="AO39" s="3">
        <v>1</v>
      </c>
      <c r="AP39" s="3" t="s">
        <v>65</v>
      </c>
      <c r="AQ39" s="3" t="s">
        <v>50</v>
      </c>
      <c r="AR39" s="2"/>
      <c r="AS39" s="3" t="s">
        <v>51</v>
      </c>
      <c r="AT39" s="3">
        <v>120.367240932855</v>
      </c>
      <c r="AU39" s="3" t="s">
        <v>66</v>
      </c>
      <c r="AV39" s="2"/>
    </row>
    <row r="40" spans="1:48" x14ac:dyDescent="0.2">
      <c r="A40" s="1" t="s">
        <v>60</v>
      </c>
      <c r="B40" s="3" t="s">
        <v>57</v>
      </c>
      <c r="C40" s="3" t="s">
        <v>55</v>
      </c>
      <c r="D40" s="3" t="s">
        <v>59</v>
      </c>
      <c r="E40" s="3">
        <v>37</v>
      </c>
      <c r="F40" s="3">
        <v>1</v>
      </c>
      <c r="G40" s="3">
        <v>9</v>
      </c>
      <c r="H40" s="3" t="s">
        <v>59</v>
      </c>
      <c r="I40" s="3">
        <v>1</v>
      </c>
      <c r="J40" s="3">
        <v>0.62219320799977096</v>
      </c>
      <c r="K40" s="3" t="s">
        <v>48</v>
      </c>
      <c r="L40" s="3">
        <v>9</v>
      </c>
      <c r="M40" s="3">
        <v>1</v>
      </c>
      <c r="N40" s="3">
        <v>37</v>
      </c>
      <c r="O40" s="3">
        <v>1</v>
      </c>
      <c r="P40" s="3">
        <v>47.1535437920002</v>
      </c>
      <c r="Q40" s="2"/>
      <c r="R40" s="2"/>
      <c r="S40" s="2"/>
      <c r="T40" s="2"/>
      <c r="U40" s="2"/>
      <c r="V40" s="2"/>
      <c r="W40" s="2"/>
      <c r="X40" s="2"/>
      <c r="Y40" s="3">
        <v>47.1429880000005</v>
      </c>
      <c r="Z40" s="3">
        <v>47.1535437920002</v>
      </c>
      <c r="AA40" s="3">
        <v>47.638111833000004</v>
      </c>
      <c r="AB40" s="3">
        <v>47.638111833000004</v>
      </c>
      <c r="AC40" s="3">
        <v>47.638111833000004</v>
      </c>
      <c r="AD40" s="2"/>
      <c r="AE40" s="3">
        <v>48.264803791999803</v>
      </c>
      <c r="AF40" s="3" t="s">
        <v>59</v>
      </c>
      <c r="AG40" s="3">
        <v>1</v>
      </c>
      <c r="AH40" s="3">
        <v>0.62219320799977096</v>
      </c>
      <c r="AI40" s="3" t="s">
        <v>48</v>
      </c>
      <c r="AJ40" s="2"/>
      <c r="AK40" s="2"/>
      <c r="AL40" s="2"/>
      <c r="AM40" s="2"/>
      <c r="AN40" s="3">
        <v>4</v>
      </c>
      <c r="AO40" s="3">
        <v>1</v>
      </c>
      <c r="AP40" s="3" t="s">
        <v>65</v>
      </c>
      <c r="AQ40" s="3" t="s">
        <v>50</v>
      </c>
      <c r="AR40" s="2"/>
      <c r="AS40" s="3" t="s">
        <v>51</v>
      </c>
      <c r="AT40" s="3">
        <v>120.367240932855</v>
      </c>
      <c r="AU40" s="3" t="s">
        <v>66</v>
      </c>
      <c r="AV40" s="2"/>
    </row>
    <row r="41" spans="1:48" x14ac:dyDescent="0.2">
      <c r="A41" s="1" t="s">
        <v>53</v>
      </c>
      <c r="B41" s="3" t="s">
        <v>54</v>
      </c>
      <c r="C41" s="3" t="s">
        <v>55</v>
      </c>
      <c r="D41" s="3" t="s">
        <v>56</v>
      </c>
      <c r="E41" s="3">
        <v>39</v>
      </c>
      <c r="F41" s="3">
        <v>3</v>
      </c>
      <c r="G41" s="3">
        <v>9</v>
      </c>
      <c r="H41" s="3" t="s">
        <v>56</v>
      </c>
      <c r="I41" s="3">
        <v>1</v>
      </c>
      <c r="J41" s="3">
        <v>1.1312526249994299</v>
      </c>
      <c r="K41" s="3" t="s">
        <v>48</v>
      </c>
      <c r="L41" s="3">
        <v>9</v>
      </c>
      <c r="M41" s="3">
        <v>3</v>
      </c>
      <c r="N41" s="3">
        <v>39</v>
      </c>
      <c r="O41" s="3">
        <v>2</v>
      </c>
      <c r="P41" s="3">
        <v>50.297947500000198</v>
      </c>
      <c r="Q41" s="2"/>
      <c r="R41" s="2"/>
      <c r="S41" s="2"/>
      <c r="T41" s="2"/>
      <c r="U41" s="2"/>
      <c r="V41" s="2"/>
      <c r="W41" s="2"/>
      <c r="X41" s="2"/>
      <c r="Y41" s="3">
        <v>50.286570250000302</v>
      </c>
      <c r="Z41" s="3">
        <v>50.297947500000198</v>
      </c>
      <c r="AA41" s="3">
        <v>50.779167083000203</v>
      </c>
      <c r="AB41" s="3">
        <v>50.779167083000203</v>
      </c>
      <c r="AC41" s="3">
        <v>50.779167083000203</v>
      </c>
      <c r="AD41" s="2"/>
      <c r="AE41" s="3">
        <v>51.915157542000102</v>
      </c>
      <c r="AF41" s="3" t="s">
        <v>56</v>
      </c>
      <c r="AG41" s="3">
        <v>1</v>
      </c>
      <c r="AH41" s="3">
        <v>1.1312526249994299</v>
      </c>
      <c r="AI41" s="3" t="s">
        <v>48</v>
      </c>
      <c r="AJ41" s="2"/>
      <c r="AK41" s="2"/>
      <c r="AL41" s="2"/>
      <c r="AM41" s="2"/>
      <c r="AN41" s="3">
        <v>4</v>
      </c>
      <c r="AO41" s="3">
        <v>1</v>
      </c>
      <c r="AP41" s="3" t="s">
        <v>65</v>
      </c>
      <c r="AQ41" s="3" t="s">
        <v>50</v>
      </c>
      <c r="AR41" s="2"/>
      <c r="AS41" s="3" t="s">
        <v>51</v>
      </c>
      <c r="AT41" s="3">
        <v>120.367240932855</v>
      </c>
      <c r="AU41" s="3" t="s">
        <v>66</v>
      </c>
      <c r="AV41" s="2"/>
    </row>
    <row r="42" spans="1:48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>
        <v>7.7590420005435598E-3</v>
      </c>
      <c r="S42" s="3">
        <v>1.6937458000029399E-2</v>
      </c>
      <c r="T42" s="3">
        <v>1.6937458000029399E-2</v>
      </c>
      <c r="U42" s="3">
        <v>2.71110116700038</v>
      </c>
      <c r="V42" s="3" t="s">
        <v>47</v>
      </c>
      <c r="W42" s="3">
        <v>2.4435456669998499</v>
      </c>
      <c r="X42" s="3" t="s">
        <v>48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3">
        <v>4</v>
      </c>
      <c r="AO42" s="3">
        <v>1</v>
      </c>
      <c r="AP42" s="3" t="s">
        <v>65</v>
      </c>
      <c r="AQ42" s="3" t="s">
        <v>50</v>
      </c>
      <c r="AR42" s="2"/>
      <c r="AS42" s="3" t="s">
        <v>51</v>
      </c>
      <c r="AT42" s="3">
        <v>120.367240932855</v>
      </c>
      <c r="AU42" s="3" t="s">
        <v>66</v>
      </c>
      <c r="AV42" s="2"/>
    </row>
    <row r="43" spans="1:48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3">
        <v>51.915442749999798</v>
      </c>
      <c r="AK43" s="3">
        <v>51.927423167000597</v>
      </c>
      <c r="AL43" s="3">
        <v>52.913749582999998</v>
      </c>
      <c r="AM43" s="3">
        <v>52.903486500000298</v>
      </c>
      <c r="AN43" s="3">
        <v>4</v>
      </c>
      <c r="AO43" s="3">
        <v>1</v>
      </c>
      <c r="AP43" s="3" t="s">
        <v>65</v>
      </c>
      <c r="AQ43" s="3" t="s">
        <v>50</v>
      </c>
      <c r="AR43" s="2"/>
      <c r="AS43" s="3" t="s">
        <v>51</v>
      </c>
      <c r="AT43" s="3">
        <v>120.367240932855</v>
      </c>
      <c r="AU43" s="3" t="s">
        <v>66</v>
      </c>
      <c r="AV43" s="2"/>
    </row>
    <row r="45" spans="1:48" x14ac:dyDescent="0.2">
      <c r="G45">
        <f>AVERAGE(AG2,AG21)</f>
        <v>1</v>
      </c>
    </row>
    <row r="46" spans="1:48" x14ac:dyDescent="0.2">
      <c r="G46">
        <f>AVERAGE(AG22,AG41)</f>
        <v>1</v>
      </c>
      <c r="AI46">
        <f>AVERAGE(AH2:AH21)</f>
        <v>0.77483030190005642</v>
      </c>
    </row>
    <row r="47" spans="1:48" x14ac:dyDescent="0.2">
      <c r="AI47">
        <f>AVERAGE(AH22:AH41)</f>
        <v>0.69938697466659461</v>
      </c>
    </row>
    <row r="49" spans="35:35" x14ac:dyDescent="0.2">
      <c r="AI49">
        <v>0.77483029999999997</v>
      </c>
    </row>
    <row r="50" spans="35:35" x14ac:dyDescent="0.2">
      <c r="AI50">
        <v>0.69938697000000005</v>
      </c>
    </row>
  </sheetData>
  <autoFilter ref="A1:AV1" xr:uid="{CA25F24A-18E8-0C47-9F92-8831FBA5B821}">
    <sortState xmlns:xlrd2="http://schemas.microsoft.com/office/spreadsheetml/2017/richdata2" ref="A2:AV43">
      <sortCondition ref="C1:C4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D23E-1D6C-C043-9960-5B9BE0BCDD8B}">
  <dimension ref="A1"/>
  <sheetViews>
    <sheetView workbookViewId="0">
      <selection activeCell="F29" sqref="F2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response 1</vt:lpstr>
      <vt:lpstr>response 2</vt:lpstr>
      <vt:lpstr>response 3</vt:lpstr>
      <vt:lpstr>response 4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2025-08-26T10:38:25Z</dcterms:created>
  <dcterms:modified xsi:type="dcterms:W3CDTF">2025-08-26T17:05:19Z</dcterms:modified>
</cp:coreProperties>
</file>
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eshshah/Desktop/"/>
    </mc:Choice>
  </mc:AlternateContent>
  <xr:revisionPtr revIDLastSave="0" documentId="8_{B9279304-6620-7549-83BE-DD325A9B0AF5}" xr6:coauthVersionLast="47" xr6:coauthVersionMax="47" xr10:uidLastSave="{00000000-0000-0000-0000-000000000000}"/>
  <bookViews>
    <workbookView xWindow="2160" yWindow="3200" windowWidth="28040" windowHeight="16300" xr2:uid="{53ED4F1D-D3FC-E64B-B202-85154E901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6" i="1" l="1"/>
  <c r="L83" i="1"/>
  <c r="E2" i="1"/>
  <c r="H103" i="1"/>
  <c r="G103" i="1"/>
  <c r="F103" i="1"/>
  <c r="E1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H2" i="1"/>
  <c r="G2" i="1"/>
  <c r="F2" i="1"/>
</calcChain>
</file>

<file path=xl/sharedStrings.xml><?xml version="1.0" encoding="utf-8"?>
<sst xmlns="http://schemas.openxmlformats.org/spreadsheetml/2006/main" count="111" uniqueCount="13">
  <si>
    <t>key_resp.keys</t>
  </si>
  <si>
    <t>key_resp.corr</t>
  </si>
  <si>
    <t>tilt</t>
  </si>
  <si>
    <t>up</t>
  </si>
  <si>
    <t>down</t>
  </si>
  <si>
    <t>hit</t>
  </si>
  <si>
    <t>miss</t>
  </si>
  <si>
    <t xml:space="preserve">fa </t>
  </si>
  <si>
    <t>cr</t>
  </si>
  <si>
    <r>
      <t>Proportion Hit (H / (H+M))</t>
    </r>
    <r>
      <rPr>
        <sz val="12"/>
        <color theme="1"/>
        <rFont val="Calibri"/>
        <family val="2"/>
        <scheme val="minor"/>
      </rPr>
      <t xml:space="preserve"> = 21 / (21+32) = </t>
    </r>
    <r>
      <rPr>
        <b/>
        <sz val="12"/>
        <color theme="1"/>
        <rFont val="Calibri"/>
        <family val="2"/>
        <scheme val="minor"/>
      </rPr>
      <t>0.3962</t>
    </r>
  </si>
  <si>
    <r>
      <t>Proportion False Alarm (FA / (FA+CR))</t>
    </r>
    <r>
      <rPr>
        <sz val="12"/>
        <color theme="1"/>
        <rFont val="Calibri"/>
        <family val="2"/>
        <scheme val="minor"/>
      </rPr>
      <t xml:space="preserve"> = 14 / (14+33) = </t>
    </r>
    <r>
      <rPr>
        <b/>
        <sz val="12"/>
        <color theme="1"/>
        <rFont val="Calibri"/>
        <family val="2"/>
        <scheme val="minor"/>
      </rPr>
      <t>0.2979</t>
    </r>
  </si>
  <si>
    <t xml:space="preserve">d′ (d-prime) </t>
  </si>
  <si>
    <t xml:space="preserve">c (criterion)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</si>
</sst>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138B-0702-5143-A3CD-4540BE9534E1}">
  <dimension ref="A1:AB103"/>
  <sheetViews>
    <sheetView tabSelected="1" topLeftCell="A72" workbookViewId="0">
      <selection activeCell="K89" sqref="K89"/>
    </sheetView>
  </sheetViews>
  <sheetFormatPr baseColWidth="10" defaultRowHeight="16" x14ac:dyDescent="0.2"/>
  <cols>
    <col min="2" max="2" width="14.6640625" customWidth="1"/>
    <col min="11" max="11" width="61.83203125" customWidth="1"/>
    <col min="12" max="12" width="12.3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/>
      <c r="E1" s="1" t="s">
        <v>5</v>
      </c>
      <c r="F1" s="1" t="s">
        <v>6</v>
      </c>
      <c r="G1" s="1" t="s">
        <v>7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spans="1:28" x14ac:dyDescent="0.2">
      <c r="A2" s="3" t="s">
        <v>3</v>
      </c>
      <c r="B2" s="3">
        <v>0</v>
      </c>
      <c r="C2" s="3">
        <v>-3</v>
      </c>
      <c r="D2" s="3"/>
      <c r="E2" s="3">
        <f>IF(AND(C2&lt;&gt;0, B2=1), 1, 0)</f>
        <v>0</v>
      </c>
      <c r="F2" s="3">
        <f>IF(AND(C2&lt;&gt;0, B2=0), 1, 0)</f>
        <v>1</v>
      </c>
      <c r="G2" s="3">
        <f>IF(AND(C2=0, B2=0), 1, 0)</f>
        <v>0</v>
      </c>
      <c r="H2" s="3">
        <f>IF(AND(C2=0, B2=1), 1, 0)</f>
        <v>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3"/>
      <c r="Z2" s="3"/>
      <c r="AA2" s="3"/>
      <c r="AB2" s="2"/>
    </row>
    <row r="3" spans="1:28" x14ac:dyDescent="0.2">
      <c r="A3" s="3" t="s">
        <v>3</v>
      </c>
      <c r="B3" s="3">
        <v>1</v>
      </c>
      <c r="C3" s="3">
        <v>0</v>
      </c>
      <c r="D3" s="3"/>
      <c r="E3" s="3">
        <f t="shared" ref="E3:E66" si="0">IF(AND(C3&lt;&gt;0, B3=1), 1, 0)</f>
        <v>0</v>
      </c>
      <c r="F3" s="3">
        <f t="shared" ref="F3:F66" si="1">IF(AND(C3&lt;&gt;0, B3=0), 1, 0)</f>
        <v>0</v>
      </c>
      <c r="G3" s="3">
        <f t="shared" ref="G3:G66" si="2">IF(AND(C3=0, B3=0), 1, 0)</f>
        <v>0</v>
      </c>
      <c r="H3" s="3">
        <f t="shared" ref="H3:H66" si="3">IF(AND(C3=0, B3=1), 1, 0)</f>
        <v>1</v>
      </c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/>
      <c r="Y3" s="3"/>
      <c r="Z3" s="3"/>
      <c r="AA3" s="3"/>
      <c r="AB3" s="2"/>
    </row>
    <row r="4" spans="1:28" x14ac:dyDescent="0.2">
      <c r="A4" s="3" t="s">
        <v>3</v>
      </c>
      <c r="B4" s="3">
        <v>1</v>
      </c>
      <c r="C4" s="3">
        <v>0</v>
      </c>
      <c r="D4" s="3"/>
      <c r="E4" s="3">
        <f t="shared" si="0"/>
        <v>0</v>
      </c>
      <c r="F4" s="3">
        <f t="shared" si="1"/>
        <v>0</v>
      </c>
      <c r="G4" s="3">
        <f t="shared" si="2"/>
        <v>0</v>
      </c>
      <c r="H4" s="3">
        <f t="shared" si="3"/>
        <v>1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/>
      <c r="Y4" s="3"/>
      <c r="Z4" s="3"/>
      <c r="AA4" s="3"/>
      <c r="AB4" s="2"/>
    </row>
    <row r="5" spans="1:28" x14ac:dyDescent="0.2">
      <c r="A5" s="3" t="s">
        <v>3</v>
      </c>
      <c r="B5" s="3">
        <v>1</v>
      </c>
      <c r="C5" s="3">
        <v>0</v>
      </c>
      <c r="D5" s="3"/>
      <c r="E5" s="3">
        <f t="shared" si="0"/>
        <v>0</v>
      </c>
      <c r="F5" s="3">
        <f t="shared" si="1"/>
        <v>0</v>
      </c>
      <c r="G5" s="3">
        <f t="shared" si="2"/>
        <v>0</v>
      </c>
      <c r="H5" s="3">
        <f t="shared" si="3"/>
        <v>1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"/>
      <c r="Y5" s="3"/>
      <c r="Z5" s="3"/>
      <c r="AA5" s="3"/>
      <c r="AB5" s="2"/>
    </row>
    <row r="6" spans="1:28" x14ac:dyDescent="0.2">
      <c r="A6" s="3" t="s">
        <v>3</v>
      </c>
      <c r="B6" s="3">
        <v>0</v>
      </c>
      <c r="C6" s="3">
        <v>-5</v>
      </c>
      <c r="D6" s="3"/>
      <c r="E6" s="3">
        <f t="shared" si="0"/>
        <v>0</v>
      </c>
      <c r="F6" s="3">
        <f t="shared" si="1"/>
        <v>1</v>
      </c>
      <c r="G6" s="3">
        <f t="shared" si="2"/>
        <v>0</v>
      </c>
      <c r="H6" s="3">
        <f t="shared" si="3"/>
        <v>0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/>
      <c r="Y6" s="3"/>
      <c r="Z6" s="3"/>
      <c r="AA6" s="3"/>
      <c r="AB6" s="2"/>
    </row>
    <row r="7" spans="1:28" x14ac:dyDescent="0.2">
      <c r="A7" s="3" t="s">
        <v>3</v>
      </c>
      <c r="B7" s="3">
        <v>0</v>
      </c>
      <c r="C7" s="3">
        <v>4</v>
      </c>
      <c r="D7" s="3"/>
      <c r="E7" s="3">
        <f t="shared" si="0"/>
        <v>0</v>
      </c>
      <c r="F7" s="3">
        <f t="shared" si="1"/>
        <v>1</v>
      </c>
      <c r="G7" s="3">
        <f t="shared" si="2"/>
        <v>0</v>
      </c>
      <c r="H7" s="3">
        <f t="shared" si="3"/>
        <v>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"/>
      <c r="Y7" s="3"/>
      <c r="Z7" s="3"/>
      <c r="AA7" s="3"/>
      <c r="AB7" s="2"/>
    </row>
    <row r="8" spans="1:28" x14ac:dyDescent="0.2">
      <c r="A8" s="3" t="s">
        <v>3</v>
      </c>
      <c r="B8" s="3">
        <v>1</v>
      </c>
      <c r="C8" s="3">
        <v>0</v>
      </c>
      <c r="D8" s="3"/>
      <c r="E8" s="3">
        <f t="shared" si="0"/>
        <v>0</v>
      </c>
      <c r="F8" s="3">
        <f t="shared" si="1"/>
        <v>0</v>
      </c>
      <c r="G8" s="3">
        <f t="shared" si="2"/>
        <v>0</v>
      </c>
      <c r="H8" s="3">
        <f t="shared" si="3"/>
        <v>1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"/>
      <c r="Y8" s="3"/>
      <c r="Z8" s="3"/>
      <c r="AA8" s="3"/>
      <c r="AB8" s="2"/>
    </row>
    <row r="9" spans="1:28" x14ac:dyDescent="0.2">
      <c r="A9" s="3" t="s">
        <v>3</v>
      </c>
      <c r="B9" s="3">
        <v>1</v>
      </c>
      <c r="C9" s="3">
        <v>0</v>
      </c>
      <c r="D9" s="3"/>
      <c r="E9" s="3">
        <f t="shared" si="0"/>
        <v>0</v>
      </c>
      <c r="F9" s="3">
        <f t="shared" si="1"/>
        <v>0</v>
      </c>
      <c r="G9" s="3">
        <f t="shared" si="2"/>
        <v>0</v>
      </c>
      <c r="H9" s="3">
        <f t="shared" si="3"/>
        <v>1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/>
      <c r="Y9" s="3"/>
      <c r="Z9" s="3"/>
      <c r="AA9" s="3"/>
      <c r="AB9" s="2"/>
    </row>
    <row r="10" spans="1:28" x14ac:dyDescent="0.2">
      <c r="A10" s="3" t="s">
        <v>4</v>
      </c>
      <c r="B10" s="3">
        <v>1</v>
      </c>
      <c r="C10" s="3">
        <v>-5</v>
      </c>
      <c r="D10" s="3"/>
      <c r="E10" s="3">
        <f t="shared" si="0"/>
        <v>1</v>
      </c>
      <c r="F10" s="3">
        <f t="shared" si="1"/>
        <v>0</v>
      </c>
      <c r="G10" s="3">
        <f t="shared" si="2"/>
        <v>0</v>
      </c>
      <c r="H10" s="3">
        <f t="shared" si="3"/>
        <v>0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"/>
      <c r="Y10" s="3"/>
      <c r="Z10" s="3"/>
      <c r="AA10" s="3"/>
      <c r="AB10" s="2"/>
    </row>
    <row r="11" spans="1:28" x14ac:dyDescent="0.2">
      <c r="A11" s="3" t="s">
        <v>3</v>
      </c>
      <c r="B11" s="3">
        <v>1</v>
      </c>
      <c r="C11" s="3">
        <v>0</v>
      </c>
      <c r="D11" s="3"/>
      <c r="E11" s="3">
        <f t="shared" si="0"/>
        <v>0</v>
      </c>
      <c r="F11" s="3">
        <f t="shared" si="1"/>
        <v>0</v>
      </c>
      <c r="G11" s="3">
        <f t="shared" si="2"/>
        <v>0</v>
      </c>
      <c r="H11" s="3">
        <f t="shared" si="3"/>
        <v>1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"/>
      <c r="Y11" s="3"/>
      <c r="Z11" s="3"/>
      <c r="AA11" s="3"/>
      <c r="AB11" s="2"/>
    </row>
    <row r="12" spans="1:28" x14ac:dyDescent="0.2">
      <c r="A12" s="3" t="s">
        <v>4</v>
      </c>
      <c r="B12" s="3">
        <v>0</v>
      </c>
      <c r="C12" s="3">
        <v>0</v>
      </c>
      <c r="D12" s="3"/>
      <c r="E12" s="3">
        <f t="shared" si="0"/>
        <v>0</v>
      </c>
      <c r="F12" s="3">
        <f t="shared" si="1"/>
        <v>0</v>
      </c>
      <c r="G12" s="3">
        <f t="shared" si="2"/>
        <v>1</v>
      </c>
      <c r="H12" s="3">
        <f t="shared" si="3"/>
        <v>0</v>
      </c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/>
      <c r="Y12" s="3"/>
      <c r="Z12" s="3"/>
      <c r="AA12" s="3"/>
      <c r="AB12" s="2"/>
    </row>
    <row r="13" spans="1:28" x14ac:dyDescent="0.2">
      <c r="A13" s="3" t="s">
        <v>3</v>
      </c>
      <c r="B13" s="3">
        <v>0</v>
      </c>
      <c r="C13" s="3">
        <v>-3</v>
      </c>
      <c r="D13" s="3"/>
      <c r="E13" s="3">
        <f t="shared" si="0"/>
        <v>0</v>
      </c>
      <c r="F13" s="3">
        <f t="shared" si="1"/>
        <v>1</v>
      </c>
      <c r="G13" s="3">
        <f t="shared" si="2"/>
        <v>0</v>
      </c>
      <c r="H13" s="3">
        <f t="shared" si="3"/>
        <v>0</v>
      </c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3"/>
      <c r="Z13" s="3"/>
      <c r="AA13" s="3"/>
      <c r="AB13" s="2"/>
    </row>
    <row r="14" spans="1:28" x14ac:dyDescent="0.2">
      <c r="A14" s="3" t="s">
        <v>3</v>
      </c>
      <c r="B14" s="3">
        <v>0</v>
      </c>
      <c r="C14" s="3">
        <v>4</v>
      </c>
      <c r="D14" s="3"/>
      <c r="E14" s="3">
        <f t="shared" si="0"/>
        <v>0</v>
      </c>
      <c r="F14" s="3">
        <f t="shared" si="1"/>
        <v>1</v>
      </c>
      <c r="G14" s="3">
        <f t="shared" si="2"/>
        <v>0</v>
      </c>
      <c r="H14" s="3">
        <f t="shared" si="3"/>
        <v>0</v>
      </c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3"/>
      <c r="Z14" s="3"/>
      <c r="AA14" s="3"/>
      <c r="AB14" s="2"/>
    </row>
    <row r="15" spans="1:28" x14ac:dyDescent="0.2">
      <c r="A15" s="3" t="s">
        <v>3</v>
      </c>
      <c r="B15" s="3">
        <v>0</v>
      </c>
      <c r="C15" s="3">
        <v>4</v>
      </c>
      <c r="D15" s="3"/>
      <c r="E15" s="3">
        <f t="shared" si="0"/>
        <v>0</v>
      </c>
      <c r="F15" s="3">
        <f t="shared" si="1"/>
        <v>1</v>
      </c>
      <c r="G15" s="3">
        <f t="shared" si="2"/>
        <v>0</v>
      </c>
      <c r="H15" s="3">
        <f t="shared" si="3"/>
        <v>0</v>
      </c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3"/>
      <c r="Z15" s="3"/>
      <c r="AA15" s="3"/>
      <c r="AB15" s="2"/>
    </row>
    <row r="16" spans="1:28" x14ac:dyDescent="0.2">
      <c r="A16" s="3" t="s">
        <v>3</v>
      </c>
      <c r="B16" s="3">
        <v>0</v>
      </c>
      <c r="C16" s="3">
        <v>-4</v>
      </c>
      <c r="D16" s="3"/>
      <c r="E16" s="3">
        <f t="shared" si="0"/>
        <v>0</v>
      </c>
      <c r="F16" s="3">
        <f t="shared" si="1"/>
        <v>1</v>
      </c>
      <c r="G16" s="3">
        <f t="shared" si="2"/>
        <v>0</v>
      </c>
      <c r="H16" s="3">
        <f t="shared" si="3"/>
        <v>0</v>
      </c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3"/>
      <c r="Z16" s="3"/>
      <c r="AA16" s="3"/>
      <c r="AB16" s="2"/>
    </row>
    <row r="17" spans="1:28" x14ac:dyDescent="0.2">
      <c r="A17" s="3" t="s">
        <v>3</v>
      </c>
      <c r="B17" s="3">
        <v>0</v>
      </c>
      <c r="C17" s="3">
        <v>-5</v>
      </c>
      <c r="D17" s="3"/>
      <c r="E17" s="3">
        <f t="shared" si="0"/>
        <v>0</v>
      </c>
      <c r="F17" s="3">
        <f t="shared" si="1"/>
        <v>1</v>
      </c>
      <c r="G17" s="3">
        <f t="shared" si="2"/>
        <v>0</v>
      </c>
      <c r="H17" s="3">
        <f t="shared" si="3"/>
        <v>0</v>
      </c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3"/>
      <c r="Z17" s="3"/>
      <c r="AA17" s="3"/>
      <c r="AB17" s="2"/>
    </row>
    <row r="18" spans="1:28" x14ac:dyDescent="0.2">
      <c r="A18" s="3" t="s">
        <v>3</v>
      </c>
      <c r="B18" s="3">
        <v>1</v>
      </c>
      <c r="C18" s="3">
        <v>0</v>
      </c>
      <c r="D18" s="3"/>
      <c r="E18" s="3">
        <f t="shared" si="0"/>
        <v>0</v>
      </c>
      <c r="F18" s="3">
        <f t="shared" si="1"/>
        <v>0</v>
      </c>
      <c r="G18" s="3">
        <f t="shared" si="2"/>
        <v>0</v>
      </c>
      <c r="H18" s="3">
        <f t="shared" si="3"/>
        <v>1</v>
      </c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3"/>
      <c r="Z18" s="3"/>
      <c r="AA18" s="3"/>
      <c r="AB18" s="2"/>
    </row>
    <row r="19" spans="1:28" x14ac:dyDescent="0.2">
      <c r="A19" s="3" t="s">
        <v>4</v>
      </c>
      <c r="B19" s="3">
        <v>0</v>
      </c>
      <c r="C19" s="3">
        <v>0</v>
      </c>
      <c r="D19" s="3"/>
      <c r="E19" s="3">
        <f t="shared" si="0"/>
        <v>0</v>
      </c>
      <c r="F19" s="3">
        <f t="shared" si="1"/>
        <v>0</v>
      </c>
      <c r="G19" s="3">
        <f t="shared" si="2"/>
        <v>1</v>
      </c>
      <c r="H19" s="3">
        <f t="shared" si="3"/>
        <v>0</v>
      </c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"/>
      <c r="Y19" s="3"/>
      <c r="Z19" s="3"/>
      <c r="AA19" s="3"/>
      <c r="AB19" s="2"/>
    </row>
    <row r="20" spans="1:28" x14ac:dyDescent="0.2">
      <c r="A20" s="3" t="s">
        <v>4</v>
      </c>
      <c r="B20" s="3">
        <v>0</v>
      </c>
      <c r="C20" s="3">
        <v>0</v>
      </c>
      <c r="D20" s="3"/>
      <c r="E20" s="3">
        <f t="shared" si="0"/>
        <v>0</v>
      </c>
      <c r="F20" s="3">
        <f t="shared" si="1"/>
        <v>0</v>
      </c>
      <c r="G20" s="3">
        <f t="shared" si="2"/>
        <v>1</v>
      </c>
      <c r="H20" s="3">
        <f t="shared" si="3"/>
        <v>0</v>
      </c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/>
      <c r="Y20" s="3"/>
      <c r="Z20" s="3"/>
      <c r="AA20" s="3"/>
      <c r="AB20" s="2"/>
    </row>
    <row r="21" spans="1:28" x14ac:dyDescent="0.2">
      <c r="A21" s="3" t="s">
        <v>4</v>
      </c>
      <c r="B21" s="3">
        <v>1</v>
      </c>
      <c r="C21" s="3">
        <v>3</v>
      </c>
      <c r="D21" s="3"/>
      <c r="E21" s="3">
        <f t="shared" si="0"/>
        <v>1</v>
      </c>
      <c r="F21" s="3">
        <f t="shared" si="1"/>
        <v>0</v>
      </c>
      <c r="G21" s="3">
        <f t="shared" si="2"/>
        <v>0</v>
      </c>
      <c r="H21" s="3">
        <f t="shared" si="3"/>
        <v>0</v>
      </c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3"/>
      <c r="Z21" s="3"/>
      <c r="AA21" s="3"/>
      <c r="AB21" s="2"/>
    </row>
    <row r="22" spans="1:28" x14ac:dyDescent="0.2">
      <c r="A22" s="3" t="s">
        <v>3</v>
      </c>
      <c r="B22" s="3">
        <v>0</v>
      </c>
      <c r="C22" s="3">
        <v>4</v>
      </c>
      <c r="D22" s="3"/>
      <c r="E22" s="3">
        <f t="shared" si="0"/>
        <v>0</v>
      </c>
      <c r="F22" s="3">
        <f t="shared" si="1"/>
        <v>1</v>
      </c>
      <c r="G22" s="3">
        <f t="shared" si="2"/>
        <v>0</v>
      </c>
      <c r="H22" s="3">
        <f t="shared" si="3"/>
        <v>0</v>
      </c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3"/>
      <c r="Z22" s="3"/>
      <c r="AA22" s="3"/>
      <c r="AB22" s="2"/>
    </row>
    <row r="23" spans="1:28" x14ac:dyDescent="0.2">
      <c r="A23" s="3" t="s">
        <v>3</v>
      </c>
      <c r="B23" s="3">
        <v>0</v>
      </c>
      <c r="C23" s="3">
        <v>-3</v>
      </c>
      <c r="D23" s="3"/>
      <c r="E23" s="3">
        <f t="shared" si="0"/>
        <v>0</v>
      </c>
      <c r="F23" s="3">
        <f t="shared" si="1"/>
        <v>1</v>
      </c>
      <c r="G23" s="3">
        <f t="shared" si="2"/>
        <v>0</v>
      </c>
      <c r="H23" s="3">
        <f t="shared" si="3"/>
        <v>0</v>
      </c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3"/>
      <c r="Z23" s="3"/>
      <c r="AA23" s="3"/>
      <c r="AB23" s="2"/>
    </row>
    <row r="24" spans="1:28" x14ac:dyDescent="0.2">
      <c r="A24" s="3" t="s">
        <v>4</v>
      </c>
      <c r="B24" s="3">
        <v>1</v>
      </c>
      <c r="C24" s="3">
        <v>-4</v>
      </c>
      <c r="D24" s="3"/>
      <c r="E24" s="3">
        <f t="shared" si="0"/>
        <v>1</v>
      </c>
      <c r="F24" s="3">
        <f t="shared" si="1"/>
        <v>0</v>
      </c>
      <c r="G24" s="3">
        <f t="shared" si="2"/>
        <v>0</v>
      </c>
      <c r="H24" s="3">
        <f t="shared" si="3"/>
        <v>0</v>
      </c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3"/>
      <c r="Z24" s="3"/>
      <c r="AA24" s="3"/>
      <c r="AB24" s="2"/>
    </row>
    <row r="25" spans="1:28" x14ac:dyDescent="0.2">
      <c r="A25" s="3" t="s">
        <v>3</v>
      </c>
      <c r="B25" s="3">
        <v>1</v>
      </c>
      <c r="C25" s="3">
        <v>0</v>
      </c>
      <c r="D25" s="3"/>
      <c r="E25" s="3">
        <f t="shared" si="0"/>
        <v>0</v>
      </c>
      <c r="F25" s="3">
        <f t="shared" si="1"/>
        <v>0</v>
      </c>
      <c r="G25" s="3">
        <f t="shared" si="2"/>
        <v>0</v>
      </c>
      <c r="H25" s="3">
        <f t="shared" si="3"/>
        <v>1</v>
      </c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3"/>
      <c r="Z25" s="3"/>
      <c r="AA25" s="3"/>
      <c r="AB25" s="2"/>
    </row>
    <row r="26" spans="1:28" x14ac:dyDescent="0.2">
      <c r="A26" s="3" t="s">
        <v>3</v>
      </c>
      <c r="B26" s="3">
        <v>1</v>
      </c>
      <c r="C26" s="3">
        <v>0</v>
      </c>
      <c r="D26" s="3"/>
      <c r="E26" s="3">
        <f t="shared" si="0"/>
        <v>0</v>
      </c>
      <c r="F26" s="3">
        <f t="shared" si="1"/>
        <v>0</v>
      </c>
      <c r="G26" s="3">
        <f t="shared" si="2"/>
        <v>0</v>
      </c>
      <c r="H26" s="3">
        <f t="shared" si="3"/>
        <v>1</v>
      </c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"/>
      <c r="Y26" s="3"/>
      <c r="Z26" s="3"/>
      <c r="AA26" s="3"/>
      <c r="AB26" s="2"/>
    </row>
    <row r="27" spans="1:28" x14ac:dyDescent="0.2">
      <c r="A27" s="3" t="s">
        <v>3</v>
      </c>
      <c r="B27" s="3">
        <v>1</v>
      </c>
      <c r="C27" s="3">
        <v>0</v>
      </c>
      <c r="D27" s="3"/>
      <c r="E27" s="3">
        <f t="shared" si="0"/>
        <v>0</v>
      </c>
      <c r="F27" s="3">
        <f t="shared" si="1"/>
        <v>0</v>
      </c>
      <c r="G27" s="3">
        <f t="shared" si="2"/>
        <v>0</v>
      </c>
      <c r="H27" s="3">
        <f t="shared" si="3"/>
        <v>1</v>
      </c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"/>
      <c r="Y27" s="3"/>
      <c r="Z27" s="3"/>
      <c r="AA27" s="3"/>
      <c r="AB27" s="2"/>
    </row>
    <row r="28" spans="1:28" x14ac:dyDescent="0.2">
      <c r="A28" s="3" t="s">
        <v>4</v>
      </c>
      <c r="B28" s="3">
        <v>1</v>
      </c>
      <c r="C28" s="3">
        <v>4</v>
      </c>
      <c r="D28" s="3"/>
      <c r="E28" s="3">
        <f t="shared" si="0"/>
        <v>1</v>
      </c>
      <c r="F28" s="3">
        <f t="shared" si="1"/>
        <v>0</v>
      </c>
      <c r="G28" s="3">
        <f t="shared" si="2"/>
        <v>0</v>
      </c>
      <c r="H28" s="3">
        <f t="shared" si="3"/>
        <v>0</v>
      </c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  <c r="Y28" s="3"/>
      <c r="Z28" s="3"/>
      <c r="AA28" s="3"/>
      <c r="AB28" s="2"/>
    </row>
    <row r="29" spans="1:28" x14ac:dyDescent="0.2">
      <c r="A29" s="3" t="s">
        <v>4</v>
      </c>
      <c r="B29" s="3">
        <v>0</v>
      </c>
      <c r="C29" s="3">
        <v>0</v>
      </c>
      <c r="D29" s="3"/>
      <c r="E29" s="3">
        <f t="shared" si="0"/>
        <v>0</v>
      </c>
      <c r="F29" s="3">
        <f t="shared" si="1"/>
        <v>0</v>
      </c>
      <c r="G29" s="3">
        <f t="shared" si="2"/>
        <v>1</v>
      </c>
      <c r="H29" s="3">
        <f t="shared" si="3"/>
        <v>0</v>
      </c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3"/>
      <c r="Z29" s="3"/>
      <c r="AA29" s="3"/>
      <c r="AB29" s="2"/>
    </row>
    <row r="30" spans="1:28" x14ac:dyDescent="0.2">
      <c r="A30" s="3" t="s">
        <v>3</v>
      </c>
      <c r="B30" s="3">
        <v>1</v>
      </c>
      <c r="C30" s="3">
        <v>0</v>
      </c>
      <c r="D30" s="3"/>
      <c r="E30" s="3">
        <f t="shared" si="0"/>
        <v>0</v>
      </c>
      <c r="F30" s="3">
        <f t="shared" si="1"/>
        <v>0</v>
      </c>
      <c r="G30" s="3">
        <f t="shared" si="2"/>
        <v>0</v>
      </c>
      <c r="H30" s="3">
        <f t="shared" si="3"/>
        <v>1</v>
      </c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3"/>
      <c r="Z30" s="3"/>
      <c r="AA30" s="3"/>
      <c r="AB30" s="2"/>
    </row>
    <row r="31" spans="1:28" x14ac:dyDescent="0.2">
      <c r="A31" s="3" t="s">
        <v>3</v>
      </c>
      <c r="B31" s="3">
        <v>0</v>
      </c>
      <c r="C31" s="3">
        <v>-3</v>
      </c>
      <c r="D31" s="3"/>
      <c r="E31" s="3">
        <f t="shared" si="0"/>
        <v>0</v>
      </c>
      <c r="F31" s="3">
        <f t="shared" si="1"/>
        <v>1</v>
      </c>
      <c r="G31" s="3">
        <f t="shared" si="2"/>
        <v>0</v>
      </c>
      <c r="H31" s="3">
        <f t="shared" si="3"/>
        <v>0</v>
      </c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3"/>
      <c r="Z31" s="3"/>
      <c r="AA31" s="3"/>
      <c r="AB31" s="2"/>
    </row>
    <row r="32" spans="1:28" x14ac:dyDescent="0.2">
      <c r="A32" s="3" t="s">
        <v>4</v>
      </c>
      <c r="B32" s="3">
        <v>0</v>
      </c>
      <c r="C32" s="3">
        <v>0</v>
      </c>
      <c r="D32" s="3"/>
      <c r="E32" s="3">
        <f t="shared" si="0"/>
        <v>0</v>
      </c>
      <c r="F32" s="3">
        <f t="shared" si="1"/>
        <v>0</v>
      </c>
      <c r="G32" s="3">
        <f t="shared" si="2"/>
        <v>1</v>
      </c>
      <c r="H32" s="3">
        <f t="shared" si="3"/>
        <v>0</v>
      </c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3"/>
      <c r="Z32" s="3"/>
      <c r="AA32" s="3"/>
      <c r="AB32" s="2"/>
    </row>
    <row r="33" spans="1:28" x14ac:dyDescent="0.2">
      <c r="A33" s="3" t="s">
        <v>3</v>
      </c>
      <c r="B33" s="3">
        <v>1</v>
      </c>
      <c r="C33" s="3">
        <v>0</v>
      </c>
      <c r="D33" s="3"/>
      <c r="E33" s="3">
        <f t="shared" si="0"/>
        <v>0</v>
      </c>
      <c r="F33" s="3">
        <f t="shared" si="1"/>
        <v>0</v>
      </c>
      <c r="G33" s="3">
        <f t="shared" si="2"/>
        <v>0</v>
      </c>
      <c r="H33" s="3">
        <f t="shared" si="3"/>
        <v>1</v>
      </c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3"/>
      <c r="Z33" s="3"/>
      <c r="AA33" s="3"/>
      <c r="AB33" s="2"/>
    </row>
    <row r="34" spans="1:28" x14ac:dyDescent="0.2">
      <c r="A34" s="3" t="s">
        <v>4</v>
      </c>
      <c r="B34" s="3">
        <v>1</v>
      </c>
      <c r="C34" s="3">
        <v>1</v>
      </c>
      <c r="D34" s="3"/>
      <c r="E34" s="3">
        <f t="shared" si="0"/>
        <v>1</v>
      </c>
      <c r="F34" s="3">
        <f t="shared" si="1"/>
        <v>0</v>
      </c>
      <c r="G34" s="3">
        <f t="shared" si="2"/>
        <v>0</v>
      </c>
      <c r="H34" s="3">
        <f t="shared" si="3"/>
        <v>0</v>
      </c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  <c r="Y34" s="3"/>
      <c r="Z34" s="3"/>
      <c r="AA34" s="3"/>
      <c r="AB34" s="2"/>
    </row>
    <row r="35" spans="1:28" x14ac:dyDescent="0.2">
      <c r="A35" s="3" t="s">
        <v>4</v>
      </c>
      <c r="B35" s="3">
        <v>1</v>
      </c>
      <c r="C35" s="3">
        <v>-3</v>
      </c>
      <c r="D35" s="3"/>
      <c r="E35" s="3">
        <f t="shared" si="0"/>
        <v>1</v>
      </c>
      <c r="F35" s="3">
        <f t="shared" si="1"/>
        <v>0</v>
      </c>
      <c r="G35" s="3">
        <f t="shared" si="2"/>
        <v>0</v>
      </c>
      <c r="H35" s="3">
        <f t="shared" si="3"/>
        <v>0</v>
      </c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  <c r="Y35" s="3"/>
      <c r="Z35" s="3"/>
      <c r="AA35" s="3"/>
      <c r="AB35" s="2"/>
    </row>
    <row r="36" spans="1:28" x14ac:dyDescent="0.2">
      <c r="A36" s="3" t="s">
        <v>4</v>
      </c>
      <c r="B36" s="3">
        <v>0</v>
      </c>
      <c r="C36" s="3">
        <v>0</v>
      </c>
      <c r="D36" s="3"/>
      <c r="E36" s="3">
        <f t="shared" si="0"/>
        <v>0</v>
      </c>
      <c r="F36" s="3">
        <f t="shared" si="1"/>
        <v>0</v>
      </c>
      <c r="G36" s="3">
        <f t="shared" si="2"/>
        <v>1</v>
      </c>
      <c r="H36" s="3">
        <f t="shared" si="3"/>
        <v>0</v>
      </c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3"/>
      <c r="Z36" s="3"/>
      <c r="AA36" s="3"/>
      <c r="AB36" s="2"/>
    </row>
    <row r="37" spans="1:28" x14ac:dyDescent="0.2">
      <c r="A37" s="3" t="s">
        <v>3</v>
      </c>
      <c r="B37" s="3">
        <v>0</v>
      </c>
      <c r="C37" s="3">
        <v>-4</v>
      </c>
      <c r="D37" s="3"/>
      <c r="E37" s="3">
        <f t="shared" si="0"/>
        <v>0</v>
      </c>
      <c r="F37" s="3">
        <f t="shared" si="1"/>
        <v>1</v>
      </c>
      <c r="G37" s="3">
        <f t="shared" si="2"/>
        <v>0</v>
      </c>
      <c r="H37" s="3">
        <f t="shared" si="3"/>
        <v>0</v>
      </c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3"/>
      <c r="Z37" s="3"/>
      <c r="AA37" s="3"/>
      <c r="AB37" s="2"/>
    </row>
    <row r="38" spans="1:28" x14ac:dyDescent="0.2">
      <c r="A38" s="3" t="s">
        <v>4</v>
      </c>
      <c r="B38" s="3">
        <v>1</v>
      </c>
      <c r="C38" s="3">
        <v>-4</v>
      </c>
      <c r="D38" s="3"/>
      <c r="E38" s="3">
        <f t="shared" si="0"/>
        <v>1</v>
      </c>
      <c r="F38" s="3">
        <f t="shared" si="1"/>
        <v>0</v>
      </c>
      <c r="G38" s="3">
        <f t="shared" si="2"/>
        <v>0</v>
      </c>
      <c r="H38" s="3">
        <f t="shared" si="3"/>
        <v>0</v>
      </c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3"/>
      <c r="Z38" s="3"/>
      <c r="AA38" s="3"/>
      <c r="AB38" s="2"/>
    </row>
    <row r="39" spans="1:28" x14ac:dyDescent="0.2">
      <c r="A39" s="3" t="s">
        <v>4</v>
      </c>
      <c r="B39" s="3">
        <v>1</v>
      </c>
      <c r="C39" s="3">
        <v>1</v>
      </c>
      <c r="D39" s="3"/>
      <c r="E39" s="3">
        <f t="shared" si="0"/>
        <v>1</v>
      </c>
      <c r="F39" s="3">
        <f t="shared" si="1"/>
        <v>0</v>
      </c>
      <c r="G39" s="3">
        <f t="shared" si="2"/>
        <v>0</v>
      </c>
      <c r="H39" s="3">
        <f t="shared" si="3"/>
        <v>0</v>
      </c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3"/>
      <c r="Z39" s="3"/>
      <c r="AA39" s="3"/>
      <c r="AB39" s="2"/>
    </row>
    <row r="40" spans="1:28" x14ac:dyDescent="0.2">
      <c r="A40" s="3" t="s">
        <v>3</v>
      </c>
      <c r="B40" s="3">
        <v>0</v>
      </c>
      <c r="C40" s="3">
        <v>3</v>
      </c>
      <c r="D40" s="3"/>
      <c r="E40" s="3">
        <f t="shared" si="0"/>
        <v>0</v>
      </c>
      <c r="F40" s="3">
        <f t="shared" si="1"/>
        <v>1</v>
      </c>
      <c r="G40" s="3">
        <f t="shared" si="2"/>
        <v>0</v>
      </c>
      <c r="H40" s="3">
        <f t="shared" si="3"/>
        <v>0</v>
      </c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3"/>
      <c r="Z40" s="3"/>
      <c r="AA40" s="3"/>
      <c r="AB40" s="2"/>
    </row>
    <row r="41" spans="1:28" x14ac:dyDescent="0.2">
      <c r="A41" s="3" t="s">
        <v>4</v>
      </c>
      <c r="B41" s="3">
        <v>0</v>
      </c>
      <c r="C41" s="3">
        <v>0</v>
      </c>
      <c r="D41" s="3"/>
      <c r="E41" s="3">
        <f t="shared" si="0"/>
        <v>0</v>
      </c>
      <c r="F41" s="3">
        <f t="shared" si="1"/>
        <v>0</v>
      </c>
      <c r="G41" s="3">
        <f t="shared" si="2"/>
        <v>1</v>
      </c>
      <c r="H41" s="3">
        <f t="shared" si="3"/>
        <v>0</v>
      </c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3"/>
      <c r="Z41" s="3"/>
      <c r="AA41" s="3"/>
      <c r="AB41" s="2"/>
    </row>
    <row r="42" spans="1:28" x14ac:dyDescent="0.2">
      <c r="A42" s="3" t="s">
        <v>3</v>
      </c>
      <c r="B42" s="3">
        <v>1</v>
      </c>
      <c r="C42" s="3">
        <v>0</v>
      </c>
      <c r="D42" s="3"/>
      <c r="E42" s="3">
        <f t="shared" si="0"/>
        <v>0</v>
      </c>
      <c r="F42" s="3">
        <f t="shared" si="1"/>
        <v>0</v>
      </c>
      <c r="G42" s="3">
        <f t="shared" si="2"/>
        <v>0</v>
      </c>
      <c r="H42" s="3">
        <f t="shared" si="3"/>
        <v>1</v>
      </c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3"/>
      <c r="Z42" s="3"/>
      <c r="AA42" s="3"/>
      <c r="AB42" s="2"/>
    </row>
    <row r="43" spans="1:28" x14ac:dyDescent="0.2">
      <c r="A43" s="3" t="s">
        <v>4</v>
      </c>
      <c r="B43" s="3">
        <v>0</v>
      </c>
      <c r="C43" s="3">
        <v>0</v>
      </c>
      <c r="D43" s="3"/>
      <c r="E43" s="3">
        <f t="shared" si="0"/>
        <v>0</v>
      </c>
      <c r="F43" s="3">
        <f t="shared" si="1"/>
        <v>0</v>
      </c>
      <c r="G43" s="3">
        <f t="shared" si="2"/>
        <v>1</v>
      </c>
      <c r="H43" s="3">
        <f t="shared" si="3"/>
        <v>0</v>
      </c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3"/>
      <c r="Z43" s="3"/>
      <c r="AA43" s="3"/>
      <c r="AB43" s="2"/>
    </row>
    <row r="44" spans="1:28" x14ac:dyDescent="0.2">
      <c r="A44" s="3" t="s">
        <v>4</v>
      </c>
      <c r="B44" s="3">
        <v>0</v>
      </c>
      <c r="C44" s="3">
        <v>0</v>
      </c>
      <c r="D44" s="3"/>
      <c r="E44" s="3">
        <f t="shared" si="0"/>
        <v>0</v>
      </c>
      <c r="F44" s="3">
        <f t="shared" si="1"/>
        <v>0</v>
      </c>
      <c r="G44" s="3">
        <f t="shared" si="2"/>
        <v>1</v>
      </c>
      <c r="H44" s="3">
        <f t="shared" si="3"/>
        <v>0</v>
      </c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3"/>
      <c r="Z44" s="3"/>
      <c r="AA44" s="3"/>
      <c r="AB44" s="2"/>
    </row>
    <row r="45" spans="1:28" x14ac:dyDescent="0.2">
      <c r="A45" s="3" t="s">
        <v>3</v>
      </c>
      <c r="B45" s="3">
        <v>1</v>
      </c>
      <c r="C45" s="3">
        <v>0</v>
      </c>
      <c r="D45" s="3"/>
      <c r="E45" s="3">
        <f t="shared" si="0"/>
        <v>0</v>
      </c>
      <c r="F45" s="3">
        <f t="shared" si="1"/>
        <v>0</v>
      </c>
      <c r="G45" s="3">
        <f t="shared" si="2"/>
        <v>0</v>
      </c>
      <c r="H45" s="3">
        <f t="shared" si="3"/>
        <v>1</v>
      </c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3"/>
      <c r="Z45" s="3"/>
      <c r="AA45" s="3"/>
      <c r="AB45" s="2"/>
    </row>
    <row r="46" spans="1:28" x14ac:dyDescent="0.2">
      <c r="A46" s="3" t="s">
        <v>3</v>
      </c>
      <c r="B46" s="3">
        <v>1</v>
      </c>
      <c r="C46" s="3">
        <v>0</v>
      </c>
      <c r="D46" s="3"/>
      <c r="E46" s="3">
        <f t="shared" si="0"/>
        <v>0</v>
      </c>
      <c r="F46" s="3">
        <f t="shared" si="1"/>
        <v>0</v>
      </c>
      <c r="G46" s="3">
        <f t="shared" si="2"/>
        <v>0</v>
      </c>
      <c r="H46" s="3">
        <f t="shared" si="3"/>
        <v>1</v>
      </c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3"/>
      <c r="Z46" s="3"/>
      <c r="AA46" s="3"/>
      <c r="AB46" s="2"/>
    </row>
    <row r="47" spans="1:28" x14ac:dyDescent="0.2">
      <c r="A47" s="3" t="s">
        <v>3</v>
      </c>
      <c r="B47" s="3">
        <v>1</v>
      </c>
      <c r="C47" s="3">
        <v>0</v>
      </c>
      <c r="D47" s="3"/>
      <c r="E47" s="3">
        <f t="shared" si="0"/>
        <v>0</v>
      </c>
      <c r="F47" s="3">
        <f t="shared" si="1"/>
        <v>0</v>
      </c>
      <c r="G47" s="3">
        <f t="shared" si="2"/>
        <v>0</v>
      </c>
      <c r="H47" s="3">
        <f t="shared" si="3"/>
        <v>1</v>
      </c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3"/>
      <c r="Z47" s="3"/>
      <c r="AA47" s="3"/>
      <c r="AB47" s="2"/>
    </row>
    <row r="48" spans="1:28" x14ac:dyDescent="0.2">
      <c r="A48" s="3" t="s">
        <v>3</v>
      </c>
      <c r="B48" s="3">
        <v>0</v>
      </c>
      <c r="C48" s="3">
        <v>2</v>
      </c>
      <c r="D48" s="3"/>
      <c r="E48" s="3">
        <f t="shared" si="0"/>
        <v>0</v>
      </c>
      <c r="F48" s="3">
        <f t="shared" si="1"/>
        <v>1</v>
      </c>
      <c r="G48" s="3">
        <f t="shared" si="2"/>
        <v>0</v>
      </c>
      <c r="H48" s="3">
        <f t="shared" si="3"/>
        <v>0</v>
      </c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3"/>
      <c r="Z48" s="3"/>
      <c r="AA48" s="3"/>
      <c r="AB48" s="2"/>
    </row>
    <row r="49" spans="1:28" x14ac:dyDescent="0.2">
      <c r="A49" s="3" t="s">
        <v>4</v>
      </c>
      <c r="B49" s="3">
        <v>1</v>
      </c>
      <c r="C49" s="3">
        <v>1</v>
      </c>
      <c r="D49" s="3"/>
      <c r="E49" s="3">
        <f t="shared" si="0"/>
        <v>1</v>
      </c>
      <c r="F49" s="3">
        <f t="shared" si="1"/>
        <v>0</v>
      </c>
      <c r="G49" s="3">
        <f t="shared" si="2"/>
        <v>0</v>
      </c>
      <c r="H49" s="3">
        <f t="shared" si="3"/>
        <v>0</v>
      </c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3"/>
      <c r="Z49" s="3"/>
      <c r="AA49" s="3"/>
      <c r="AB49" s="2"/>
    </row>
    <row r="50" spans="1:28" x14ac:dyDescent="0.2">
      <c r="A50" s="3" t="s">
        <v>4</v>
      </c>
      <c r="B50" s="3">
        <v>0</v>
      </c>
      <c r="C50" s="3">
        <v>0</v>
      </c>
      <c r="D50" s="3"/>
      <c r="E50" s="3">
        <f t="shared" si="0"/>
        <v>0</v>
      </c>
      <c r="F50" s="3">
        <f t="shared" si="1"/>
        <v>0</v>
      </c>
      <c r="G50" s="3">
        <f t="shared" si="2"/>
        <v>1</v>
      </c>
      <c r="H50" s="3">
        <f t="shared" si="3"/>
        <v>0</v>
      </c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3"/>
      <c r="Z50" s="3"/>
      <c r="AA50" s="3"/>
      <c r="AB50" s="2"/>
    </row>
    <row r="51" spans="1:28" x14ac:dyDescent="0.2">
      <c r="A51" s="3" t="s">
        <v>3</v>
      </c>
      <c r="B51" s="3">
        <v>0</v>
      </c>
      <c r="C51" s="3">
        <v>-3</v>
      </c>
      <c r="D51" s="3"/>
      <c r="E51" s="3">
        <f t="shared" si="0"/>
        <v>0</v>
      </c>
      <c r="F51" s="3">
        <f t="shared" si="1"/>
        <v>1</v>
      </c>
      <c r="G51" s="3">
        <f t="shared" si="2"/>
        <v>0</v>
      </c>
      <c r="H51" s="3">
        <f t="shared" si="3"/>
        <v>0</v>
      </c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3"/>
      <c r="Z51" s="3"/>
      <c r="AA51" s="3"/>
      <c r="AB51" s="2"/>
    </row>
    <row r="52" spans="1:28" x14ac:dyDescent="0.2">
      <c r="A52" s="3" t="s">
        <v>4</v>
      </c>
      <c r="B52" s="3">
        <v>1</v>
      </c>
      <c r="C52" s="3">
        <v>3</v>
      </c>
      <c r="D52" s="3"/>
      <c r="E52" s="3">
        <f t="shared" si="0"/>
        <v>1</v>
      </c>
      <c r="F52" s="3">
        <f t="shared" si="1"/>
        <v>0</v>
      </c>
      <c r="G52" s="3">
        <f t="shared" si="2"/>
        <v>0</v>
      </c>
      <c r="H52" s="3">
        <f t="shared" si="3"/>
        <v>0</v>
      </c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3"/>
      <c r="Z52" s="3"/>
      <c r="AA52" s="3"/>
      <c r="AB52" s="2"/>
    </row>
    <row r="53" spans="1:28" x14ac:dyDescent="0.2">
      <c r="A53" s="3" t="s">
        <v>4</v>
      </c>
      <c r="B53" s="3">
        <v>1</v>
      </c>
      <c r="C53" s="3">
        <v>2</v>
      </c>
      <c r="D53" s="3"/>
      <c r="E53" s="3">
        <f t="shared" si="0"/>
        <v>1</v>
      </c>
      <c r="F53" s="3">
        <f t="shared" si="1"/>
        <v>0</v>
      </c>
      <c r="G53" s="3">
        <f t="shared" si="2"/>
        <v>0</v>
      </c>
      <c r="H53" s="3">
        <f t="shared" si="3"/>
        <v>0</v>
      </c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3"/>
      <c r="Z53" s="3"/>
      <c r="AA53" s="3"/>
      <c r="AB53" s="2"/>
    </row>
    <row r="54" spans="1:28" x14ac:dyDescent="0.2">
      <c r="A54" s="3" t="s">
        <v>3</v>
      </c>
      <c r="B54" s="3">
        <v>1</v>
      </c>
      <c r="C54" s="3">
        <v>0</v>
      </c>
      <c r="D54" s="3"/>
      <c r="E54" s="3">
        <f t="shared" si="0"/>
        <v>0</v>
      </c>
      <c r="F54" s="3">
        <f t="shared" si="1"/>
        <v>0</v>
      </c>
      <c r="G54" s="3">
        <f t="shared" si="2"/>
        <v>0</v>
      </c>
      <c r="H54" s="3">
        <f t="shared" si="3"/>
        <v>1</v>
      </c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3"/>
      <c r="Z54" s="3"/>
      <c r="AA54" s="3"/>
      <c r="AB54" s="2"/>
    </row>
    <row r="55" spans="1:28" x14ac:dyDescent="0.2">
      <c r="A55" s="3" t="s">
        <v>4</v>
      </c>
      <c r="B55" s="3">
        <v>1</v>
      </c>
      <c r="C55" s="3">
        <v>-2</v>
      </c>
      <c r="D55" s="3"/>
      <c r="E55" s="3">
        <f t="shared" si="0"/>
        <v>1</v>
      </c>
      <c r="F55" s="3">
        <f t="shared" si="1"/>
        <v>0</v>
      </c>
      <c r="G55" s="3">
        <f t="shared" si="2"/>
        <v>0</v>
      </c>
      <c r="H55" s="3">
        <f t="shared" si="3"/>
        <v>0</v>
      </c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3"/>
      <c r="Z55" s="3"/>
      <c r="AA55" s="3"/>
      <c r="AB55" s="2"/>
    </row>
    <row r="56" spans="1:28" x14ac:dyDescent="0.2">
      <c r="A56" s="3" t="s">
        <v>4</v>
      </c>
      <c r="B56" s="3">
        <v>1</v>
      </c>
      <c r="C56" s="3">
        <v>3</v>
      </c>
      <c r="D56" s="3"/>
      <c r="E56" s="3">
        <f t="shared" si="0"/>
        <v>1</v>
      </c>
      <c r="F56" s="3">
        <f t="shared" si="1"/>
        <v>0</v>
      </c>
      <c r="G56" s="3">
        <f t="shared" si="2"/>
        <v>0</v>
      </c>
      <c r="H56" s="3">
        <f t="shared" si="3"/>
        <v>0</v>
      </c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3"/>
      <c r="Z56" s="3"/>
      <c r="AA56" s="3"/>
      <c r="AB56" s="2"/>
    </row>
    <row r="57" spans="1:28" x14ac:dyDescent="0.2">
      <c r="A57" s="3" t="s">
        <v>3</v>
      </c>
      <c r="B57" s="3">
        <v>0</v>
      </c>
      <c r="C57" s="3">
        <v>-3</v>
      </c>
      <c r="D57" s="3"/>
      <c r="E57" s="3">
        <f t="shared" si="0"/>
        <v>0</v>
      </c>
      <c r="F57" s="3">
        <f t="shared" si="1"/>
        <v>1</v>
      </c>
      <c r="G57" s="3">
        <f t="shared" si="2"/>
        <v>0</v>
      </c>
      <c r="H57" s="3">
        <f t="shared" si="3"/>
        <v>0</v>
      </c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3"/>
      <c r="Z57" s="3"/>
      <c r="AA57" s="3"/>
      <c r="AB57" s="2"/>
    </row>
    <row r="58" spans="1:28" x14ac:dyDescent="0.2">
      <c r="A58" s="3" t="s">
        <v>3</v>
      </c>
      <c r="B58" s="3">
        <v>1</v>
      </c>
      <c r="C58" s="3">
        <v>0</v>
      </c>
      <c r="D58" s="3"/>
      <c r="E58" s="3">
        <f t="shared" si="0"/>
        <v>0</v>
      </c>
      <c r="F58" s="3">
        <f t="shared" si="1"/>
        <v>0</v>
      </c>
      <c r="G58" s="3">
        <f t="shared" si="2"/>
        <v>0</v>
      </c>
      <c r="H58" s="3">
        <f t="shared" si="3"/>
        <v>1</v>
      </c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3"/>
      <c r="Z58" s="3"/>
      <c r="AA58" s="3"/>
      <c r="AB58" s="2"/>
    </row>
    <row r="59" spans="1:28" x14ac:dyDescent="0.2">
      <c r="A59" s="3" t="s">
        <v>4</v>
      </c>
      <c r="B59" s="3">
        <v>0</v>
      </c>
      <c r="C59" s="3">
        <v>0</v>
      </c>
      <c r="D59" s="3"/>
      <c r="E59" s="3">
        <f t="shared" si="0"/>
        <v>0</v>
      </c>
      <c r="F59" s="3">
        <f t="shared" si="1"/>
        <v>0</v>
      </c>
      <c r="G59" s="3">
        <f t="shared" si="2"/>
        <v>1</v>
      </c>
      <c r="H59" s="3">
        <f t="shared" si="3"/>
        <v>0</v>
      </c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3"/>
      <c r="Z59" s="3"/>
      <c r="AA59" s="3"/>
      <c r="AB59" s="2"/>
    </row>
    <row r="60" spans="1:28" x14ac:dyDescent="0.2">
      <c r="A60" s="3" t="s">
        <v>3</v>
      </c>
      <c r="B60" s="3">
        <v>0</v>
      </c>
      <c r="C60" s="3">
        <v>2</v>
      </c>
      <c r="D60" s="3"/>
      <c r="E60" s="3">
        <f t="shared" si="0"/>
        <v>0</v>
      </c>
      <c r="F60" s="3">
        <f t="shared" si="1"/>
        <v>1</v>
      </c>
      <c r="G60" s="3">
        <f t="shared" si="2"/>
        <v>0</v>
      </c>
      <c r="H60" s="3">
        <f t="shared" si="3"/>
        <v>0</v>
      </c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3"/>
      <c r="Z60" s="3"/>
      <c r="AA60" s="3"/>
      <c r="AB60" s="2"/>
    </row>
    <row r="61" spans="1:28" x14ac:dyDescent="0.2">
      <c r="A61" s="3" t="s">
        <v>3</v>
      </c>
      <c r="B61" s="3">
        <v>1</v>
      </c>
      <c r="C61" s="3">
        <v>0</v>
      </c>
      <c r="D61" s="3"/>
      <c r="E61" s="3">
        <f t="shared" si="0"/>
        <v>0</v>
      </c>
      <c r="F61" s="3">
        <f t="shared" si="1"/>
        <v>0</v>
      </c>
      <c r="G61" s="3">
        <f t="shared" si="2"/>
        <v>0</v>
      </c>
      <c r="H61" s="3">
        <f t="shared" si="3"/>
        <v>1</v>
      </c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3"/>
      <c r="Z61" s="3"/>
      <c r="AA61" s="3"/>
      <c r="AB61" s="2"/>
    </row>
    <row r="62" spans="1:28" x14ac:dyDescent="0.2">
      <c r="A62" s="3" t="s">
        <v>3</v>
      </c>
      <c r="B62" s="3">
        <v>0</v>
      </c>
      <c r="C62" s="3">
        <v>1</v>
      </c>
      <c r="D62" s="3"/>
      <c r="E62" s="3">
        <f t="shared" si="0"/>
        <v>0</v>
      </c>
      <c r="F62" s="3">
        <f t="shared" si="1"/>
        <v>1</v>
      </c>
      <c r="G62" s="3">
        <f t="shared" si="2"/>
        <v>0</v>
      </c>
      <c r="H62" s="3">
        <f t="shared" si="3"/>
        <v>0</v>
      </c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3"/>
      <c r="Z62" s="3"/>
      <c r="AA62" s="3"/>
      <c r="AB62" s="2"/>
    </row>
    <row r="63" spans="1:28" x14ac:dyDescent="0.2">
      <c r="A63" s="3" t="s">
        <v>3</v>
      </c>
      <c r="B63" s="3">
        <v>0</v>
      </c>
      <c r="C63" s="3">
        <v>-3</v>
      </c>
      <c r="D63" s="3"/>
      <c r="E63" s="3">
        <f t="shared" si="0"/>
        <v>0</v>
      </c>
      <c r="F63" s="3">
        <f t="shared" si="1"/>
        <v>1</v>
      </c>
      <c r="G63" s="3">
        <f t="shared" si="2"/>
        <v>0</v>
      </c>
      <c r="H63" s="3">
        <f t="shared" si="3"/>
        <v>0</v>
      </c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3"/>
      <c r="Z63" s="3"/>
      <c r="AA63" s="3"/>
      <c r="AB63" s="2"/>
    </row>
    <row r="64" spans="1:28" x14ac:dyDescent="0.2">
      <c r="A64" s="3" t="s">
        <v>3</v>
      </c>
      <c r="B64" s="3">
        <v>1</v>
      </c>
      <c r="C64" s="3">
        <v>0</v>
      </c>
      <c r="D64" s="3"/>
      <c r="E64" s="3">
        <f t="shared" si="0"/>
        <v>0</v>
      </c>
      <c r="F64" s="3">
        <f t="shared" si="1"/>
        <v>0</v>
      </c>
      <c r="G64" s="3">
        <f t="shared" si="2"/>
        <v>0</v>
      </c>
      <c r="H64" s="3">
        <f t="shared" si="3"/>
        <v>1</v>
      </c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3"/>
      <c r="Z64" s="3"/>
      <c r="AA64" s="3"/>
      <c r="AB64" s="2"/>
    </row>
    <row r="65" spans="1:28" x14ac:dyDescent="0.2">
      <c r="A65" s="3" t="s">
        <v>4</v>
      </c>
      <c r="B65" s="3">
        <v>1</v>
      </c>
      <c r="C65" s="3">
        <v>-3</v>
      </c>
      <c r="D65" s="3"/>
      <c r="E65" s="3">
        <f t="shared" si="0"/>
        <v>1</v>
      </c>
      <c r="F65" s="3">
        <f t="shared" si="1"/>
        <v>0</v>
      </c>
      <c r="G65" s="3">
        <f t="shared" si="2"/>
        <v>0</v>
      </c>
      <c r="H65" s="3">
        <f t="shared" si="3"/>
        <v>0</v>
      </c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3"/>
      <c r="Z65" s="3"/>
      <c r="AA65" s="3"/>
      <c r="AB65" s="2"/>
    </row>
    <row r="66" spans="1:28" x14ac:dyDescent="0.2">
      <c r="A66" s="3" t="s">
        <v>3</v>
      </c>
      <c r="B66" s="3">
        <v>0</v>
      </c>
      <c r="C66" s="3">
        <v>-2</v>
      </c>
      <c r="D66" s="3"/>
      <c r="E66" s="3">
        <f t="shared" si="0"/>
        <v>0</v>
      </c>
      <c r="F66" s="3">
        <f t="shared" si="1"/>
        <v>1</v>
      </c>
      <c r="G66" s="3">
        <f t="shared" si="2"/>
        <v>0</v>
      </c>
      <c r="H66" s="3">
        <f t="shared" si="3"/>
        <v>0</v>
      </c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3"/>
      <c r="Z66" s="3"/>
      <c r="AA66" s="3"/>
      <c r="AB66" s="2"/>
    </row>
    <row r="67" spans="1:28" x14ac:dyDescent="0.2">
      <c r="A67" s="3" t="s">
        <v>4</v>
      </c>
      <c r="B67" s="3">
        <v>1</v>
      </c>
      <c r="C67" s="3">
        <v>2</v>
      </c>
      <c r="D67" s="3"/>
      <c r="E67" s="3">
        <f t="shared" ref="E67:E101" si="4">IF(AND(C67&lt;&gt;0, B67=1), 1, 0)</f>
        <v>1</v>
      </c>
      <c r="F67" s="3">
        <f t="shared" ref="F67:F101" si="5">IF(AND(C67&lt;&gt;0, B67=0), 1, 0)</f>
        <v>0</v>
      </c>
      <c r="G67" s="3">
        <f t="shared" ref="G67:G101" si="6">IF(AND(C67=0, B67=0), 1, 0)</f>
        <v>0</v>
      </c>
      <c r="H67" s="3">
        <f t="shared" ref="H67:H101" si="7">IF(AND(C67=0, B67=1), 1, 0)</f>
        <v>0</v>
      </c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3"/>
      <c r="Z67" s="3"/>
      <c r="AA67" s="3"/>
      <c r="AB67" s="2"/>
    </row>
    <row r="68" spans="1:28" x14ac:dyDescent="0.2">
      <c r="A68" s="3" t="s">
        <v>3</v>
      </c>
      <c r="B68" s="3">
        <v>1</v>
      </c>
      <c r="C68" s="3">
        <v>0</v>
      </c>
      <c r="D68" s="3"/>
      <c r="E68" s="3">
        <f t="shared" si="4"/>
        <v>0</v>
      </c>
      <c r="F68" s="3">
        <f t="shared" si="5"/>
        <v>0</v>
      </c>
      <c r="G68" s="3">
        <f t="shared" si="6"/>
        <v>0</v>
      </c>
      <c r="H68" s="3">
        <f t="shared" si="7"/>
        <v>1</v>
      </c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3"/>
      <c r="Z68" s="3"/>
      <c r="AA68" s="3"/>
      <c r="AB68" s="2"/>
    </row>
    <row r="69" spans="1:28" x14ac:dyDescent="0.2">
      <c r="A69" s="3" t="s">
        <v>3</v>
      </c>
      <c r="B69" s="3">
        <v>0</v>
      </c>
      <c r="C69" s="3">
        <v>2</v>
      </c>
      <c r="D69" s="3"/>
      <c r="E69" s="3">
        <f t="shared" si="4"/>
        <v>0</v>
      </c>
      <c r="F69" s="3">
        <f t="shared" si="5"/>
        <v>1</v>
      </c>
      <c r="G69" s="3">
        <f t="shared" si="6"/>
        <v>0</v>
      </c>
      <c r="H69" s="3">
        <f t="shared" si="7"/>
        <v>0</v>
      </c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3"/>
      <c r="Z69" s="3"/>
      <c r="AA69" s="3"/>
      <c r="AB69" s="2"/>
    </row>
    <row r="70" spans="1:28" x14ac:dyDescent="0.2">
      <c r="A70" s="3" t="s">
        <v>3</v>
      </c>
      <c r="B70" s="3">
        <v>0</v>
      </c>
      <c r="C70" s="3">
        <v>-2</v>
      </c>
      <c r="D70" s="3"/>
      <c r="E70" s="3">
        <f t="shared" si="4"/>
        <v>0</v>
      </c>
      <c r="F70" s="3">
        <f t="shared" si="5"/>
        <v>1</v>
      </c>
      <c r="G70" s="3">
        <f t="shared" si="6"/>
        <v>0</v>
      </c>
      <c r="H70" s="3">
        <f t="shared" si="7"/>
        <v>0</v>
      </c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3"/>
      <c r="Z70" s="3"/>
      <c r="AA70" s="3"/>
      <c r="AB70" s="2"/>
    </row>
    <row r="71" spans="1:28" x14ac:dyDescent="0.2">
      <c r="A71" s="3" t="s">
        <v>4</v>
      </c>
      <c r="B71" s="3">
        <v>1</v>
      </c>
      <c r="C71" s="3">
        <v>-4</v>
      </c>
      <c r="D71" s="3"/>
      <c r="E71" s="3">
        <f t="shared" si="4"/>
        <v>1</v>
      </c>
      <c r="F71" s="3">
        <f t="shared" si="5"/>
        <v>0</v>
      </c>
      <c r="G71" s="3">
        <f t="shared" si="6"/>
        <v>0</v>
      </c>
      <c r="H71" s="3">
        <f t="shared" si="7"/>
        <v>0</v>
      </c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3"/>
      <c r="Z71" s="3"/>
      <c r="AA71" s="3"/>
      <c r="AB71" s="2"/>
    </row>
    <row r="72" spans="1:28" x14ac:dyDescent="0.2">
      <c r="A72" s="3" t="s">
        <v>3</v>
      </c>
      <c r="B72" s="3">
        <v>0</v>
      </c>
      <c r="C72" s="3">
        <v>1</v>
      </c>
      <c r="D72" s="3"/>
      <c r="E72" s="3">
        <f t="shared" si="4"/>
        <v>0</v>
      </c>
      <c r="F72" s="3">
        <f t="shared" si="5"/>
        <v>1</v>
      </c>
      <c r="G72" s="3">
        <f t="shared" si="6"/>
        <v>0</v>
      </c>
      <c r="H72" s="3">
        <f t="shared" si="7"/>
        <v>0</v>
      </c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3"/>
      <c r="Z72" s="3"/>
      <c r="AA72" s="3"/>
      <c r="AB72" s="2"/>
    </row>
    <row r="73" spans="1:28" x14ac:dyDescent="0.2">
      <c r="A73" s="3" t="s">
        <v>4</v>
      </c>
      <c r="B73" s="3">
        <v>0</v>
      </c>
      <c r="C73" s="3">
        <v>0</v>
      </c>
      <c r="D73" s="3"/>
      <c r="E73" s="3">
        <f t="shared" si="4"/>
        <v>0</v>
      </c>
      <c r="F73" s="3">
        <f t="shared" si="5"/>
        <v>0</v>
      </c>
      <c r="G73" s="3">
        <f t="shared" si="6"/>
        <v>1</v>
      </c>
      <c r="H73" s="3">
        <f t="shared" si="7"/>
        <v>0</v>
      </c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3"/>
      <c r="Z73" s="3"/>
      <c r="AA73" s="3"/>
      <c r="AB73" s="2"/>
    </row>
    <row r="74" spans="1:28" x14ac:dyDescent="0.2">
      <c r="A74" s="3" t="s">
        <v>3</v>
      </c>
      <c r="B74" s="3">
        <v>1</v>
      </c>
      <c r="C74" s="3">
        <v>0</v>
      </c>
      <c r="D74" s="3"/>
      <c r="E74" s="3">
        <f t="shared" si="4"/>
        <v>0</v>
      </c>
      <c r="F74" s="3">
        <f t="shared" si="5"/>
        <v>0</v>
      </c>
      <c r="G74" s="3">
        <f t="shared" si="6"/>
        <v>0</v>
      </c>
      <c r="H74" s="3">
        <f t="shared" si="7"/>
        <v>1</v>
      </c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3"/>
      <c r="Z74" s="3"/>
      <c r="AA74" s="3"/>
      <c r="AB74" s="2"/>
    </row>
    <row r="75" spans="1:28" x14ac:dyDescent="0.2">
      <c r="A75" s="3" t="s">
        <v>3</v>
      </c>
      <c r="B75" s="3">
        <v>1</v>
      </c>
      <c r="C75" s="3">
        <v>0</v>
      </c>
      <c r="D75" s="3"/>
      <c r="E75" s="3">
        <f t="shared" si="4"/>
        <v>0</v>
      </c>
      <c r="F75" s="3">
        <f t="shared" si="5"/>
        <v>0</v>
      </c>
      <c r="G75" s="3">
        <f t="shared" si="6"/>
        <v>0</v>
      </c>
      <c r="H75" s="3">
        <f t="shared" si="7"/>
        <v>1</v>
      </c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3"/>
      <c r="Z75" s="3"/>
      <c r="AA75" s="3"/>
      <c r="AB75" s="2"/>
    </row>
    <row r="76" spans="1:28" x14ac:dyDescent="0.2">
      <c r="A76" s="3" t="s">
        <v>3</v>
      </c>
      <c r="B76" s="3">
        <v>1</v>
      </c>
      <c r="C76" s="3">
        <v>0</v>
      </c>
      <c r="D76" s="3"/>
      <c r="E76" s="3">
        <f t="shared" si="4"/>
        <v>0</v>
      </c>
      <c r="F76" s="3">
        <f t="shared" si="5"/>
        <v>0</v>
      </c>
      <c r="G76" s="3">
        <f t="shared" si="6"/>
        <v>0</v>
      </c>
      <c r="H76" s="3">
        <f t="shared" si="7"/>
        <v>1</v>
      </c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3"/>
      <c r="Z76" s="3"/>
      <c r="AA76" s="3"/>
      <c r="AB76" s="2"/>
    </row>
    <row r="77" spans="1:28" x14ac:dyDescent="0.2">
      <c r="A77" s="3" t="s">
        <v>3</v>
      </c>
      <c r="B77" s="3">
        <v>0</v>
      </c>
      <c r="C77" s="3">
        <v>-2</v>
      </c>
      <c r="D77" s="3"/>
      <c r="E77" s="3">
        <f t="shared" si="4"/>
        <v>0</v>
      </c>
      <c r="F77" s="3">
        <f t="shared" si="5"/>
        <v>1</v>
      </c>
      <c r="G77" s="3">
        <f t="shared" si="6"/>
        <v>0</v>
      </c>
      <c r="H77" s="3">
        <f t="shared" si="7"/>
        <v>0</v>
      </c>
      <c r="I77" s="2"/>
      <c r="J77" s="4"/>
      <c r="K77" s="4"/>
      <c r="L77" s="4"/>
      <c r="M77" s="4"/>
      <c r="N77" s="4"/>
      <c r="O77" s="4"/>
      <c r="P77" s="4"/>
      <c r="Q77" s="3"/>
      <c r="R77" s="3"/>
      <c r="S77" s="3"/>
      <c r="T77" s="3"/>
      <c r="U77" s="3"/>
      <c r="V77" s="3"/>
      <c r="W77" s="3"/>
      <c r="X77" s="2"/>
      <c r="Y77" s="3"/>
      <c r="Z77" s="3"/>
      <c r="AA77" s="3"/>
      <c r="AB77" s="2"/>
    </row>
    <row r="78" spans="1:28" ht="17" x14ac:dyDescent="0.2">
      <c r="A78" s="3" t="s">
        <v>4</v>
      </c>
      <c r="B78" s="3">
        <v>1</v>
      </c>
      <c r="C78" s="3">
        <v>4</v>
      </c>
      <c r="D78" s="3"/>
      <c r="E78" s="3">
        <f t="shared" si="4"/>
        <v>1</v>
      </c>
      <c r="F78" s="3">
        <f t="shared" si="5"/>
        <v>0</v>
      </c>
      <c r="G78" s="3">
        <f t="shared" si="6"/>
        <v>0</v>
      </c>
      <c r="H78" s="3">
        <f t="shared" si="7"/>
        <v>0</v>
      </c>
      <c r="I78" s="2"/>
      <c r="J78" s="4"/>
      <c r="K78" s="5" t="s">
        <v>9</v>
      </c>
      <c r="L78" s="4">
        <v>0.3962</v>
      </c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2"/>
      <c r="Y78" s="3"/>
      <c r="Z78" s="3"/>
      <c r="AA78" s="3"/>
      <c r="AB78" s="2"/>
    </row>
    <row r="79" spans="1:28" x14ac:dyDescent="0.2">
      <c r="A79" s="3" t="s">
        <v>3</v>
      </c>
      <c r="B79" s="3">
        <v>1</v>
      </c>
      <c r="C79" s="3">
        <v>0</v>
      </c>
      <c r="D79" s="3"/>
      <c r="E79" s="3">
        <f t="shared" si="4"/>
        <v>0</v>
      </c>
      <c r="F79" s="3">
        <f t="shared" si="5"/>
        <v>0</v>
      </c>
      <c r="G79" s="3">
        <f t="shared" si="6"/>
        <v>0</v>
      </c>
      <c r="H79" s="3">
        <f t="shared" si="7"/>
        <v>1</v>
      </c>
      <c r="I79" s="2"/>
      <c r="J79" s="4"/>
      <c r="K79" s="6"/>
      <c r="L79" s="4"/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2"/>
      <c r="Y79" s="3"/>
      <c r="Z79" s="3"/>
      <c r="AA79" s="3"/>
      <c r="AB79" s="2"/>
    </row>
    <row r="80" spans="1:28" ht="17" x14ac:dyDescent="0.2">
      <c r="A80" s="3" t="s">
        <v>3</v>
      </c>
      <c r="B80" s="3">
        <v>0</v>
      </c>
      <c r="C80" s="3">
        <v>-4</v>
      </c>
      <c r="D80" s="3"/>
      <c r="E80" s="3">
        <f t="shared" si="4"/>
        <v>0</v>
      </c>
      <c r="F80" s="3">
        <f t="shared" si="5"/>
        <v>1</v>
      </c>
      <c r="G80" s="3">
        <f t="shared" si="6"/>
        <v>0</v>
      </c>
      <c r="H80" s="3">
        <f t="shared" si="7"/>
        <v>0</v>
      </c>
      <c r="I80" s="2"/>
      <c r="J80" s="4"/>
      <c r="K80" s="5" t="s">
        <v>10</v>
      </c>
      <c r="L80" s="4">
        <v>0.2979</v>
      </c>
      <c r="M80" s="4"/>
      <c r="N80" s="4"/>
      <c r="O80" s="4"/>
      <c r="P80" s="4"/>
      <c r="Q80" s="3"/>
      <c r="R80" s="3"/>
      <c r="S80" s="3"/>
      <c r="T80" s="3"/>
      <c r="U80" s="3"/>
      <c r="V80" s="3"/>
      <c r="W80" s="3"/>
      <c r="X80" s="2"/>
      <c r="Y80" s="3"/>
      <c r="Z80" s="3"/>
      <c r="AA80" s="3"/>
      <c r="AB80" s="2"/>
    </row>
    <row r="81" spans="1:28" x14ac:dyDescent="0.2">
      <c r="A81" s="3" t="s">
        <v>4</v>
      </c>
      <c r="B81" s="3">
        <v>1</v>
      </c>
      <c r="C81" s="3">
        <v>-4</v>
      </c>
      <c r="D81" s="3"/>
      <c r="E81" s="3">
        <f t="shared" si="4"/>
        <v>1</v>
      </c>
      <c r="F81" s="3">
        <f t="shared" si="5"/>
        <v>0</v>
      </c>
      <c r="G81" s="3">
        <f t="shared" si="6"/>
        <v>0</v>
      </c>
      <c r="H81" s="3">
        <f t="shared" si="7"/>
        <v>0</v>
      </c>
      <c r="I81" s="2"/>
      <c r="J81" s="4"/>
      <c r="K81" s="4"/>
      <c r="L81" s="4"/>
      <c r="M81" s="4"/>
      <c r="N81" s="4"/>
      <c r="O81" s="4"/>
      <c r="P81" s="4"/>
      <c r="Q81" s="3"/>
      <c r="R81" s="3"/>
      <c r="S81" s="3"/>
      <c r="T81" s="3"/>
      <c r="U81" s="3"/>
      <c r="V81" s="3"/>
      <c r="W81" s="3"/>
      <c r="X81" s="2"/>
      <c r="Y81" s="3"/>
      <c r="Z81" s="3"/>
      <c r="AA81" s="3"/>
      <c r="AB81" s="2"/>
    </row>
    <row r="82" spans="1:28" x14ac:dyDescent="0.2">
      <c r="A82" s="3" t="s">
        <v>4</v>
      </c>
      <c r="B82" s="3">
        <v>1</v>
      </c>
      <c r="C82" s="3">
        <v>2</v>
      </c>
      <c r="D82" s="3"/>
      <c r="E82" s="3">
        <f t="shared" si="4"/>
        <v>1</v>
      </c>
      <c r="F82" s="3">
        <f t="shared" si="5"/>
        <v>0</v>
      </c>
      <c r="G82" s="3">
        <f t="shared" si="6"/>
        <v>0</v>
      </c>
      <c r="H82" s="3">
        <f t="shared" si="7"/>
        <v>0</v>
      </c>
      <c r="I82" s="2"/>
      <c r="J82" s="3"/>
      <c r="K82" s="4"/>
      <c r="L82" s="4"/>
      <c r="M82" s="4"/>
      <c r="N82" s="4"/>
      <c r="O82" s="4"/>
      <c r="P82" s="4"/>
      <c r="Q82" s="3"/>
      <c r="R82" s="3"/>
      <c r="S82" s="3"/>
      <c r="T82" s="3"/>
      <c r="U82" s="3"/>
      <c r="V82" s="3"/>
      <c r="W82" s="3"/>
      <c r="X82" s="2"/>
      <c r="Y82" s="3"/>
      <c r="Z82" s="3"/>
      <c r="AA82" s="3"/>
      <c r="AB82" s="2"/>
    </row>
    <row r="83" spans="1:28" x14ac:dyDescent="0.2">
      <c r="A83" s="3" t="s">
        <v>3</v>
      </c>
      <c r="B83" s="3">
        <v>1</v>
      </c>
      <c r="C83" s="3">
        <v>0</v>
      </c>
      <c r="D83" s="3"/>
      <c r="E83" s="3">
        <f t="shared" si="4"/>
        <v>0</v>
      </c>
      <c r="F83" s="3">
        <f t="shared" si="5"/>
        <v>0</v>
      </c>
      <c r="G83" s="3">
        <f t="shared" si="6"/>
        <v>0</v>
      </c>
      <c r="H83" s="3">
        <f t="shared" si="7"/>
        <v>1</v>
      </c>
      <c r="I83" s="2"/>
      <c r="J83" s="3"/>
      <c r="K83" s="7" t="s">
        <v>11</v>
      </c>
      <c r="L83" s="4">
        <f>NORMSINV(L78)-NORMSINV(L80)</f>
        <v>0.26725458345164099</v>
      </c>
      <c r="M83" s="4"/>
      <c r="N83" s="4"/>
      <c r="O83" s="4"/>
      <c r="P83" s="4"/>
      <c r="Q83" s="3"/>
      <c r="R83" s="3"/>
      <c r="S83" s="3"/>
      <c r="T83" s="3"/>
      <c r="U83" s="3"/>
      <c r="V83" s="3"/>
      <c r="W83" s="3"/>
      <c r="X83" s="2"/>
      <c r="Y83" s="3"/>
      <c r="Z83" s="3"/>
      <c r="AA83" s="3"/>
      <c r="AB83" s="2"/>
    </row>
    <row r="84" spans="1:28" x14ac:dyDescent="0.2">
      <c r="A84" s="3" t="s">
        <v>3</v>
      </c>
      <c r="B84" s="3">
        <v>1</v>
      </c>
      <c r="C84" s="3">
        <v>0</v>
      </c>
      <c r="D84" s="3"/>
      <c r="E84" s="3">
        <f t="shared" si="4"/>
        <v>0</v>
      </c>
      <c r="F84" s="3">
        <f t="shared" si="5"/>
        <v>0</v>
      </c>
      <c r="G84" s="3">
        <f t="shared" si="6"/>
        <v>0</v>
      </c>
      <c r="H84" s="3">
        <f t="shared" si="7"/>
        <v>1</v>
      </c>
      <c r="I84" s="2"/>
      <c r="J84" s="3"/>
      <c r="K84" s="8"/>
      <c r="L84" s="4"/>
      <c r="M84" s="4"/>
      <c r="N84" s="4"/>
      <c r="O84" s="4"/>
      <c r="P84" s="4"/>
      <c r="Q84" s="3"/>
      <c r="R84" s="3"/>
      <c r="S84" s="3"/>
      <c r="T84" s="3"/>
      <c r="U84" s="3"/>
      <c r="V84" s="3"/>
      <c r="W84" s="3"/>
      <c r="X84" s="2"/>
      <c r="Y84" s="3"/>
      <c r="Z84" s="3"/>
      <c r="AA84" s="3"/>
      <c r="AB84" s="2"/>
    </row>
    <row r="85" spans="1:28" x14ac:dyDescent="0.2">
      <c r="A85" s="3" t="s">
        <v>3</v>
      </c>
      <c r="B85" s="3">
        <v>1</v>
      </c>
      <c r="C85" s="3">
        <v>0</v>
      </c>
      <c r="D85" s="3"/>
      <c r="E85" s="3">
        <f t="shared" si="4"/>
        <v>0</v>
      </c>
      <c r="F85" s="3">
        <f t="shared" si="5"/>
        <v>0</v>
      </c>
      <c r="G85" s="3">
        <f t="shared" si="6"/>
        <v>0</v>
      </c>
      <c r="H85" s="3">
        <f t="shared" si="7"/>
        <v>1</v>
      </c>
      <c r="I85" s="2"/>
      <c r="J85" s="3"/>
      <c r="K85" s="6"/>
      <c r="L85" s="4"/>
      <c r="M85" s="4"/>
      <c r="N85" s="4"/>
      <c r="O85" s="4"/>
      <c r="P85" s="4"/>
      <c r="Q85" s="3"/>
      <c r="R85" s="3"/>
      <c r="S85" s="3"/>
      <c r="T85" s="3"/>
      <c r="U85" s="3"/>
      <c r="V85" s="3"/>
      <c r="W85" s="3"/>
      <c r="X85" s="2"/>
      <c r="Y85" s="3"/>
      <c r="Z85" s="3"/>
      <c r="AA85" s="3"/>
      <c r="AB85" s="2"/>
    </row>
    <row r="86" spans="1:28" x14ac:dyDescent="0.2">
      <c r="A86" s="3" t="s">
        <v>3</v>
      </c>
      <c r="B86" s="3">
        <v>0</v>
      </c>
      <c r="C86" s="3">
        <v>-2</v>
      </c>
      <c r="D86" s="3"/>
      <c r="E86" s="3">
        <f t="shared" si="4"/>
        <v>0</v>
      </c>
      <c r="F86" s="3">
        <f t="shared" si="5"/>
        <v>1</v>
      </c>
      <c r="G86" s="3">
        <f t="shared" si="6"/>
        <v>0</v>
      </c>
      <c r="H86" s="3">
        <f t="shared" si="7"/>
        <v>0</v>
      </c>
      <c r="I86" s="2"/>
      <c r="J86" s="3"/>
      <c r="K86" s="7" t="s">
        <v>12</v>
      </c>
      <c r="L86" s="4">
        <f>-((NORMSINV(L78) + NORMSINV(L80))/2)</f>
        <v>0.39682266074505418</v>
      </c>
      <c r="M86" s="4"/>
      <c r="N86" s="4"/>
      <c r="O86" s="4"/>
      <c r="P86" s="4"/>
      <c r="Q86" s="3"/>
      <c r="R86" s="3"/>
      <c r="S86" s="3"/>
      <c r="T86" s="3"/>
      <c r="U86" s="3"/>
      <c r="V86" s="3"/>
      <c r="W86" s="3"/>
      <c r="X86" s="2"/>
      <c r="Y86" s="3"/>
      <c r="Z86" s="3"/>
      <c r="AA86" s="3"/>
      <c r="AB86" s="2"/>
    </row>
    <row r="87" spans="1:28" x14ac:dyDescent="0.2">
      <c r="A87" s="3" t="s">
        <v>3</v>
      </c>
      <c r="B87" s="3">
        <v>1</v>
      </c>
      <c r="C87" s="3">
        <v>0</v>
      </c>
      <c r="D87" s="3"/>
      <c r="E87" s="3">
        <f t="shared" si="4"/>
        <v>0</v>
      </c>
      <c r="F87" s="3">
        <f t="shared" si="5"/>
        <v>0</v>
      </c>
      <c r="G87" s="3">
        <f t="shared" si="6"/>
        <v>0</v>
      </c>
      <c r="H87" s="3">
        <f t="shared" si="7"/>
        <v>1</v>
      </c>
      <c r="I87" s="2"/>
      <c r="J87" s="3"/>
      <c r="K87" s="8"/>
      <c r="L87" s="4"/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2"/>
      <c r="Y87" s="3"/>
      <c r="Z87" s="3"/>
      <c r="AA87" s="3"/>
      <c r="AB87" s="2"/>
    </row>
    <row r="88" spans="1:28" x14ac:dyDescent="0.2">
      <c r="A88" s="3" t="s">
        <v>3</v>
      </c>
      <c r="B88" s="3">
        <v>1</v>
      </c>
      <c r="C88" s="3">
        <v>0</v>
      </c>
      <c r="D88" s="3"/>
      <c r="E88" s="3">
        <f t="shared" si="4"/>
        <v>0</v>
      </c>
      <c r="F88" s="3">
        <f t="shared" si="5"/>
        <v>0</v>
      </c>
      <c r="G88" s="3">
        <f t="shared" si="6"/>
        <v>0</v>
      </c>
      <c r="H88" s="3">
        <f t="shared" si="7"/>
        <v>1</v>
      </c>
      <c r="I88" s="2"/>
      <c r="J88" s="3"/>
      <c r="K88" s="4"/>
      <c r="L88" s="4"/>
      <c r="M88" s="4"/>
      <c r="N88" s="4"/>
      <c r="O88" s="4"/>
      <c r="P88" s="4"/>
      <c r="Q88" s="3"/>
      <c r="R88" s="3"/>
      <c r="S88" s="3"/>
      <c r="T88" s="3"/>
      <c r="U88" s="3"/>
      <c r="V88" s="3"/>
      <c r="W88" s="3"/>
      <c r="X88" s="2"/>
      <c r="Y88" s="3"/>
      <c r="Z88" s="3"/>
      <c r="AA88" s="3"/>
      <c r="AB88" s="2"/>
    </row>
    <row r="89" spans="1:28" x14ac:dyDescent="0.2">
      <c r="A89" s="3" t="s">
        <v>3</v>
      </c>
      <c r="B89" s="3">
        <v>0</v>
      </c>
      <c r="C89" s="3">
        <v>2</v>
      </c>
      <c r="D89" s="3"/>
      <c r="E89" s="3">
        <f t="shared" si="4"/>
        <v>0</v>
      </c>
      <c r="F89" s="3">
        <f t="shared" si="5"/>
        <v>1</v>
      </c>
      <c r="G89" s="3">
        <f t="shared" si="6"/>
        <v>0</v>
      </c>
      <c r="H89" s="3">
        <f t="shared" si="7"/>
        <v>0</v>
      </c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3"/>
      <c r="Z89" s="3"/>
      <c r="AA89" s="3"/>
      <c r="AB89" s="2"/>
    </row>
    <row r="90" spans="1:28" x14ac:dyDescent="0.2">
      <c r="A90" s="3" t="s">
        <v>3</v>
      </c>
      <c r="B90" s="3">
        <v>1</v>
      </c>
      <c r="C90" s="3">
        <v>0</v>
      </c>
      <c r="D90" s="3"/>
      <c r="E90" s="3">
        <f t="shared" si="4"/>
        <v>0</v>
      </c>
      <c r="F90" s="3">
        <f t="shared" si="5"/>
        <v>0</v>
      </c>
      <c r="G90" s="3">
        <f t="shared" si="6"/>
        <v>0</v>
      </c>
      <c r="H90" s="3">
        <f t="shared" si="7"/>
        <v>1</v>
      </c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3"/>
      <c r="Z90" s="3"/>
      <c r="AA90" s="3"/>
      <c r="AB90" s="2"/>
    </row>
    <row r="91" spans="1:28" x14ac:dyDescent="0.2">
      <c r="A91" s="3" t="s">
        <v>3</v>
      </c>
      <c r="B91" s="3">
        <v>1</v>
      </c>
      <c r="C91" s="3">
        <v>0</v>
      </c>
      <c r="D91" s="3"/>
      <c r="E91" s="3">
        <f t="shared" si="4"/>
        <v>0</v>
      </c>
      <c r="F91" s="3">
        <f t="shared" si="5"/>
        <v>0</v>
      </c>
      <c r="G91" s="3">
        <f t="shared" si="6"/>
        <v>0</v>
      </c>
      <c r="H91" s="3">
        <f t="shared" si="7"/>
        <v>1</v>
      </c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3"/>
      <c r="Z91" s="3"/>
      <c r="AA91" s="3"/>
      <c r="AB91" s="2"/>
    </row>
    <row r="92" spans="1:28" x14ac:dyDescent="0.2">
      <c r="A92" s="3" t="s">
        <v>3</v>
      </c>
      <c r="B92" s="3">
        <v>1</v>
      </c>
      <c r="C92" s="3">
        <v>0</v>
      </c>
      <c r="D92" s="3"/>
      <c r="E92" s="3">
        <f t="shared" si="4"/>
        <v>0</v>
      </c>
      <c r="F92" s="3">
        <f t="shared" si="5"/>
        <v>0</v>
      </c>
      <c r="G92" s="3">
        <f t="shared" si="6"/>
        <v>0</v>
      </c>
      <c r="H92" s="3">
        <f t="shared" si="7"/>
        <v>1</v>
      </c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3"/>
      <c r="Z92" s="3"/>
      <c r="AA92" s="3"/>
      <c r="AB92" s="2"/>
    </row>
    <row r="93" spans="1:28" x14ac:dyDescent="0.2">
      <c r="A93" s="3" t="s">
        <v>3</v>
      </c>
      <c r="B93" s="3">
        <v>0</v>
      </c>
      <c r="C93" s="3">
        <v>-2</v>
      </c>
      <c r="D93" s="3"/>
      <c r="E93" s="3">
        <f t="shared" si="4"/>
        <v>0</v>
      </c>
      <c r="F93" s="3">
        <f t="shared" si="5"/>
        <v>1</v>
      </c>
      <c r="G93" s="3">
        <f t="shared" si="6"/>
        <v>0</v>
      </c>
      <c r="H93" s="3">
        <f t="shared" si="7"/>
        <v>0</v>
      </c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3"/>
      <c r="Z93" s="3"/>
      <c r="AA93" s="3"/>
      <c r="AB93" s="2"/>
    </row>
    <row r="94" spans="1:28" x14ac:dyDescent="0.2">
      <c r="A94" s="3" t="s">
        <v>4</v>
      </c>
      <c r="B94" s="3">
        <v>0</v>
      </c>
      <c r="C94" s="3">
        <v>0</v>
      </c>
      <c r="D94" s="3"/>
      <c r="E94" s="3">
        <f t="shared" si="4"/>
        <v>0</v>
      </c>
      <c r="F94" s="3">
        <f t="shared" si="5"/>
        <v>0</v>
      </c>
      <c r="G94" s="3">
        <f t="shared" si="6"/>
        <v>1</v>
      </c>
      <c r="H94" s="3">
        <f t="shared" si="7"/>
        <v>0</v>
      </c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3"/>
      <c r="Z94" s="3"/>
      <c r="AA94" s="3"/>
      <c r="AB94" s="2"/>
    </row>
    <row r="95" spans="1:28" x14ac:dyDescent="0.2">
      <c r="A95" s="3" t="s">
        <v>4</v>
      </c>
      <c r="B95" s="3">
        <v>1</v>
      </c>
      <c r="C95" s="3">
        <v>-2</v>
      </c>
      <c r="D95" s="3"/>
      <c r="E95" s="3">
        <f t="shared" si="4"/>
        <v>1</v>
      </c>
      <c r="F95" s="3">
        <f t="shared" si="5"/>
        <v>0</v>
      </c>
      <c r="G95" s="3">
        <f t="shared" si="6"/>
        <v>0</v>
      </c>
      <c r="H95" s="3">
        <f t="shared" si="7"/>
        <v>0</v>
      </c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3"/>
      <c r="Z95" s="3"/>
      <c r="AA95" s="3"/>
      <c r="AB95" s="2"/>
    </row>
    <row r="96" spans="1:28" x14ac:dyDescent="0.2">
      <c r="A96" s="3" t="s">
        <v>3</v>
      </c>
      <c r="B96" s="3">
        <v>0</v>
      </c>
      <c r="C96" s="3">
        <v>1</v>
      </c>
      <c r="D96" s="3"/>
      <c r="E96" s="3">
        <f t="shared" si="4"/>
        <v>0</v>
      </c>
      <c r="F96" s="3">
        <f t="shared" si="5"/>
        <v>1</v>
      </c>
      <c r="G96" s="3">
        <f t="shared" si="6"/>
        <v>0</v>
      </c>
      <c r="H96" s="3">
        <f t="shared" si="7"/>
        <v>0</v>
      </c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3"/>
      <c r="Z96" s="3"/>
      <c r="AA96" s="3"/>
      <c r="AB96" s="2"/>
    </row>
    <row r="97" spans="1:28" x14ac:dyDescent="0.2">
      <c r="A97" s="3" t="s">
        <v>3</v>
      </c>
      <c r="B97" s="3">
        <v>0</v>
      </c>
      <c r="C97" s="3">
        <v>3</v>
      </c>
      <c r="D97" s="3"/>
      <c r="E97" s="3">
        <f t="shared" si="4"/>
        <v>0</v>
      </c>
      <c r="F97" s="3">
        <f t="shared" si="5"/>
        <v>1</v>
      </c>
      <c r="G97" s="3">
        <f t="shared" si="6"/>
        <v>0</v>
      </c>
      <c r="H97" s="3">
        <f t="shared" si="7"/>
        <v>0</v>
      </c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3"/>
      <c r="Z97" s="3"/>
      <c r="AA97" s="3"/>
      <c r="AB97" s="2"/>
    </row>
    <row r="98" spans="1:28" x14ac:dyDescent="0.2">
      <c r="A98" s="3" t="s">
        <v>4</v>
      </c>
      <c r="B98" s="3">
        <v>0</v>
      </c>
      <c r="C98" s="3">
        <v>0</v>
      </c>
      <c r="D98" s="3"/>
      <c r="E98" s="3">
        <f t="shared" si="4"/>
        <v>0</v>
      </c>
      <c r="F98" s="3">
        <f t="shared" si="5"/>
        <v>0</v>
      </c>
      <c r="G98" s="3">
        <f t="shared" si="6"/>
        <v>1</v>
      </c>
      <c r="H98" s="3">
        <f t="shared" si="7"/>
        <v>0</v>
      </c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3"/>
      <c r="Z98" s="3"/>
      <c r="AA98" s="3"/>
      <c r="AB98" s="2"/>
    </row>
    <row r="99" spans="1:28" x14ac:dyDescent="0.2">
      <c r="A99" s="3" t="s">
        <v>3</v>
      </c>
      <c r="B99" s="3">
        <v>0</v>
      </c>
      <c r="C99" s="3">
        <v>-3</v>
      </c>
      <c r="D99" s="3"/>
      <c r="E99" s="3">
        <f t="shared" si="4"/>
        <v>0</v>
      </c>
      <c r="F99" s="3">
        <f t="shared" si="5"/>
        <v>1</v>
      </c>
      <c r="G99" s="3">
        <f t="shared" si="6"/>
        <v>0</v>
      </c>
      <c r="H99" s="3">
        <f t="shared" si="7"/>
        <v>0</v>
      </c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3"/>
      <c r="Z99" s="3"/>
      <c r="AA99" s="3"/>
      <c r="AB99" s="2"/>
    </row>
    <row r="100" spans="1:28" x14ac:dyDescent="0.2">
      <c r="A100" s="3" t="s">
        <v>3</v>
      </c>
      <c r="B100" s="3">
        <v>0</v>
      </c>
      <c r="C100" s="3">
        <v>-5</v>
      </c>
      <c r="D100" s="3"/>
      <c r="E100" s="3">
        <f t="shared" si="4"/>
        <v>0</v>
      </c>
      <c r="F100" s="3">
        <f t="shared" si="5"/>
        <v>1</v>
      </c>
      <c r="G100" s="3">
        <f t="shared" si="6"/>
        <v>0</v>
      </c>
      <c r="H100" s="3">
        <f t="shared" si="7"/>
        <v>0</v>
      </c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3"/>
      <c r="Z100" s="3"/>
      <c r="AA100" s="3"/>
      <c r="AB100" s="2"/>
    </row>
    <row r="101" spans="1:28" x14ac:dyDescent="0.2">
      <c r="A101" s="3" t="s">
        <v>4</v>
      </c>
      <c r="B101" s="3">
        <v>1</v>
      </c>
      <c r="C101" s="3">
        <v>-2</v>
      </c>
      <c r="D101" s="3"/>
      <c r="E101" s="3">
        <f t="shared" si="4"/>
        <v>1</v>
      </c>
      <c r="F101" s="3">
        <f t="shared" si="5"/>
        <v>0</v>
      </c>
      <c r="G101" s="3">
        <f t="shared" si="6"/>
        <v>0</v>
      </c>
      <c r="H101" s="3">
        <f t="shared" si="7"/>
        <v>0</v>
      </c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3"/>
      <c r="Z101" s="3"/>
      <c r="AA101" s="3"/>
      <c r="AB101" s="2"/>
    </row>
    <row r="103" spans="1:28" x14ac:dyDescent="0.2">
      <c r="E103" s="3">
        <f>SUM(E2:E101)</f>
        <v>21</v>
      </c>
      <c r="F103" s="3">
        <f>SUM(F2:F101)</f>
        <v>32</v>
      </c>
      <c r="G103" s="3">
        <f>SUM(G2:G101)</f>
        <v>14</v>
      </c>
      <c r="H103" s="3">
        <f>SUM(H2:H101)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2025-09-11T15:17:41Z</dcterms:created>
  <dcterms:modified xsi:type="dcterms:W3CDTF">2025-09-11T16:51:20Z</dcterms:modified>
</cp:coreProperties>
</file>